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294484.A25745190\Desktop\Norme\"/>
    </mc:Choice>
  </mc:AlternateContent>
  <bookViews>
    <workbookView xWindow="0" yWindow="0" windowWidth="23040" windowHeight="9072" tabRatio="783" activeTab="3"/>
  </bookViews>
  <sheets>
    <sheet name="Sheet1" sheetId="35" r:id="rId1"/>
    <sheet name="ZTE NR9250 (out)" sheetId="28" r:id="rId2"/>
    <sheet name="ZTE NR9250 (in)" sheetId="29" r:id="rId3"/>
    <sheet name="ZTE MBL (out)" sheetId="31" r:id="rId4"/>
    <sheet name="ZTE MBL (in)" sheetId="32" r:id="rId5"/>
    <sheet name="ZTE ER2020E (out)" sheetId="33" r:id="rId6"/>
    <sheet name="ZTE ER2020E (in)" sheetId="34" r:id="rId7"/>
    <sheet name="(servizio)" sheetId="3" state="hidden" r:id="rId8"/>
  </sheets>
  <externalReferences>
    <externalReference r:id="rId9"/>
  </externalReferences>
  <definedNames>
    <definedName name="_Hlk76029817" localSheetId="5">'ZTE ER2020E (out)'!#REF!</definedName>
    <definedName name="RETE26">'(servizio)'!$J$2:$J$5</definedName>
    <definedName name="RETE27">'(servizio)'!$K$2:$K$8</definedName>
    <definedName name="RETE28">'(servizio)'!$L$2:$L$17</definedName>
    <definedName name="RETE29">'(servizio)'!$M$2:$M$33</definedName>
    <definedName name="RETE30">'(servizio)'!$N$2:$N$65</definedName>
    <definedName name="sottorete">'(servizio)'!$J$1:$N$1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2" l="1"/>
  <c r="H8" i="34" l="1"/>
  <c r="H9" i="34"/>
  <c r="K9" i="34"/>
  <c r="H10" i="34"/>
  <c r="K10" i="34"/>
  <c r="B14" i="34"/>
  <c r="D14" i="34"/>
  <c r="D15" i="34"/>
  <c r="D16" i="34" s="1"/>
  <c r="D17" i="34" s="1"/>
  <c r="D18" i="34" s="1"/>
  <c r="D19" i="34" s="1"/>
  <c r="D20" i="34" s="1"/>
  <c r="D21" i="34" s="1"/>
  <c r="B23" i="34"/>
  <c r="D23" i="34"/>
  <c r="D24" i="34"/>
  <c r="D25" i="34"/>
  <c r="D26" i="34"/>
  <c r="D27" i="34"/>
  <c r="D28" i="34"/>
  <c r="D29" i="34"/>
  <c r="D30" i="34"/>
  <c r="H30" i="34"/>
  <c r="D31" i="34"/>
  <c r="H31" i="34"/>
  <c r="K31" i="34"/>
  <c r="D32" i="34"/>
  <c r="H32" i="34"/>
  <c r="K32" i="34"/>
  <c r="D33" i="34"/>
  <c r="D34" i="34"/>
  <c r="D35" i="34"/>
  <c r="D36" i="34"/>
  <c r="H36" i="34"/>
  <c r="D37" i="34"/>
  <c r="H37" i="34"/>
  <c r="D38" i="34"/>
  <c r="H38" i="34"/>
  <c r="H39" i="34"/>
  <c r="H40" i="34"/>
  <c r="M40" i="34"/>
  <c r="H41" i="34"/>
  <c r="H42" i="34"/>
  <c r="H44" i="34"/>
  <c r="B15" i="33"/>
  <c r="D15" i="33"/>
  <c r="J15" i="33"/>
  <c r="D16" i="33"/>
  <c r="H16" i="33"/>
  <c r="J16" i="33"/>
  <c r="N16" i="33"/>
  <c r="D17" i="33"/>
  <c r="D18" i="33" s="1"/>
  <c r="D19" i="33" s="1"/>
  <c r="D20" i="33" s="1"/>
  <c r="D21" i="33" s="1"/>
  <c r="D22" i="33" s="1"/>
  <c r="H17" i="33"/>
  <c r="J17" i="33"/>
  <c r="N17" i="33"/>
  <c r="H18" i="33"/>
  <c r="H19" i="33"/>
  <c r="H20" i="33"/>
  <c r="B24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B47" i="33"/>
  <c r="D47" i="33"/>
  <c r="D48" i="33" s="1"/>
  <c r="D49" i="33" s="1"/>
  <c r="D50" i="33" s="1"/>
  <c r="D51" i="33" s="1"/>
  <c r="D52" i="33" s="1"/>
  <c r="D53" i="33" s="1"/>
  <c r="D54" i="33" s="1"/>
  <c r="H48" i="33"/>
  <c r="J48" i="33"/>
  <c r="H49" i="33"/>
  <c r="J49" i="33"/>
  <c r="N49" i="33"/>
  <c r="H50" i="33"/>
  <c r="J50" i="33"/>
  <c r="N50" i="33"/>
  <c r="H51" i="33"/>
  <c r="H52" i="33"/>
  <c r="B57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K76" i="33"/>
  <c r="K78" i="33"/>
  <c r="I36" i="32" l="1"/>
  <c r="C36" i="32"/>
  <c r="C35" i="32"/>
  <c r="C34" i="32"/>
  <c r="C33" i="32"/>
  <c r="C32" i="32"/>
  <c r="I31" i="32"/>
  <c r="C31" i="32"/>
  <c r="I30" i="32"/>
  <c r="C30" i="32"/>
  <c r="I29" i="32"/>
  <c r="C29" i="32"/>
  <c r="L28" i="32"/>
  <c r="C28" i="32"/>
  <c r="L27" i="32"/>
  <c r="C27" i="32"/>
  <c r="L26" i="32"/>
  <c r="I26" i="32"/>
  <c r="C26" i="32"/>
  <c r="L25" i="32"/>
  <c r="C25" i="32"/>
  <c r="L24" i="32"/>
  <c r="I24" i="32"/>
  <c r="C24" i="32"/>
  <c r="C23" i="32"/>
  <c r="C22" i="32"/>
  <c r="C21" i="32"/>
  <c r="A21" i="32"/>
  <c r="C13" i="32"/>
  <c r="C14" i="32" s="1"/>
  <c r="C15" i="32" s="1"/>
  <c r="C16" i="32" s="1"/>
  <c r="C17" i="32" s="1"/>
  <c r="C18" i="32" s="1"/>
  <c r="C19" i="32" s="1"/>
  <c r="C12" i="32"/>
  <c r="A12" i="32"/>
  <c r="L29" i="31"/>
  <c r="C36" i="31"/>
  <c r="C35" i="31"/>
  <c r="I34" i="31"/>
  <c r="C34" i="31"/>
  <c r="C33" i="31"/>
  <c r="C32" i="31"/>
  <c r="C31" i="31"/>
  <c r="C30" i="31"/>
  <c r="I29" i="31"/>
  <c r="C29" i="31"/>
  <c r="L28" i="31"/>
  <c r="I28" i="31"/>
  <c r="C28" i="31"/>
  <c r="L27" i="31"/>
  <c r="I27" i="31"/>
  <c r="C27" i="31"/>
  <c r="L26" i="31"/>
  <c r="I26" i="31"/>
  <c r="C26" i="31"/>
  <c r="L25" i="31"/>
  <c r="I25" i="31"/>
  <c r="C25" i="31"/>
  <c r="L24" i="31"/>
  <c r="I24" i="31"/>
  <c r="C24" i="31"/>
  <c r="C23" i="31"/>
  <c r="C22" i="31"/>
  <c r="C21" i="31"/>
  <c r="A21" i="31"/>
  <c r="C12" i="31"/>
  <c r="C13" i="31" s="1"/>
  <c r="C14" i="31" s="1"/>
  <c r="C15" i="31" s="1"/>
  <c r="C16" i="31" s="1"/>
  <c r="C17" i="31" s="1"/>
  <c r="C18" i="31" s="1"/>
  <c r="C19" i="31" s="1"/>
  <c r="A12" i="31"/>
  <c r="R20" i="29"/>
  <c r="P20" i="29"/>
  <c r="N20" i="29"/>
  <c r="L20" i="29"/>
  <c r="J20" i="29"/>
  <c r="R21" i="29"/>
  <c r="P21" i="29"/>
  <c r="N21" i="29"/>
  <c r="L21" i="29"/>
  <c r="J21" i="29"/>
  <c r="H26" i="29"/>
  <c r="H29" i="29"/>
  <c r="H27" i="29"/>
  <c r="H25" i="29"/>
  <c r="H24" i="29"/>
  <c r="H21" i="29"/>
  <c r="H20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B20" i="29"/>
  <c r="D11" i="29"/>
  <c r="D12" i="29" s="1"/>
  <c r="D13" i="29" s="1"/>
  <c r="D14" i="29" s="1"/>
  <c r="D15" i="29" s="1"/>
  <c r="D16" i="29" s="1"/>
  <c r="D17" i="29" s="1"/>
  <c r="D18" i="29" s="1"/>
  <c r="B11" i="29"/>
  <c r="R21" i="28"/>
  <c r="P21" i="28"/>
  <c r="N21" i="28"/>
  <c r="L21" i="28"/>
  <c r="J21" i="28"/>
  <c r="R22" i="28"/>
  <c r="P22" i="28"/>
  <c r="N22" i="28"/>
  <c r="L22" i="28"/>
  <c r="J22" i="28"/>
  <c r="H22" i="28"/>
  <c r="H27" i="28"/>
  <c r="H21" i="28"/>
  <c r="H29" i="28"/>
  <c r="H28" i="28"/>
  <c r="H26" i="28"/>
  <c r="H25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B21" i="28"/>
  <c r="D12" i="28"/>
  <c r="D13" i="28" s="1"/>
  <c r="D14" i="28" s="1"/>
  <c r="D15" i="28" s="1"/>
  <c r="D16" i="28" s="1"/>
  <c r="D17" i="28" s="1"/>
  <c r="D18" i="28" s="1"/>
  <c r="D19" i="28" s="1"/>
  <c r="B12" i="28"/>
  <c r="N3" i="3" l="1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J3" i="3"/>
  <c r="J4" i="3" s="1"/>
  <c r="J5" i="3" s="1"/>
  <c r="K3" i="3"/>
  <c r="K4" i="3" s="1"/>
  <c r="K5" i="3" s="1"/>
  <c r="K6" i="3" s="1"/>
  <c r="K7" i="3" s="1"/>
  <c r="K8" i="3" s="1"/>
  <c r="K9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</calcChain>
</file>

<file path=xl/sharedStrings.xml><?xml version="1.0" encoding="utf-8"?>
<sst xmlns="http://schemas.openxmlformats.org/spreadsheetml/2006/main" count="871" uniqueCount="175">
  <si>
    <t>le celle evidenziate in rosso indicano l'idirizzo IP di cui si deve richiedere il caricamento sui server TACACS+</t>
  </si>
  <si>
    <t>NETWORK</t>
  </si>
  <si>
    <t>Netmask</t>
  </si>
  <si>
    <t> </t>
  </si>
  <si>
    <t>Network vs. DACON</t>
  </si>
  <si>
    <t>Network Vs. radio</t>
  </si>
  <si>
    <t>1a TRATTA RADIO</t>
  </si>
  <si>
    <t>2a TRATTA RADIO</t>
  </si>
  <si>
    <t>3a TRATTA RADIO</t>
  </si>
  <si>
    <t>+0</t>
  </si>
  <si>
    <t>Network</t>
  </si>
  <si>
    <t>+1</t>
  </si>
  <si>
    <t>Dacon GW</t>
  </si>
  <si>
    <t>router dacon</t>
  </si>
  <si>
    <t>+2</t>
  </si>
  <si>
    <t>Dacon (riservato)</t>
  </si>
  <si>
    <t>+3</t>
  </si>
  <si>
    <t>+4</t>
  </si>
  <si>
    <t>Idu locale</t>
  </si>
  <si>
    <t>+5</t>
  </si>
  <si>
    <t>LIBERO</t>
  </si>
  <si>
    <t>+6</t>
  </si>
  <si>
    <t>+7</t>
  </si>
  <si>
    <t>Broadcast</t>
  </si>
  <si>
    <t>SMART DCN  SUBNET Y 18.21.133.240/28</t>
  </si>
  <si>
    <t>Network/28</t>
  </si>
  <si>
    <t>Idu locale / 32</t>
  </si>
  <si>
    <t>Idu remota 1 /32</t>
  </si>
  <si>
    <t>Idu remota 2 /32</t>
  </si>
  <si>
    <t>Idu remota 3 /32</t>
  </si>
  <si>
    <t>Idu remota 4 /32</t>
  </si>
  <si>
    <t xml:space="preserve">IP </t>
  </si>
  <si>
    <t>Idu remota 5 /32</t>
  </si>
  <si>
    <t>NETMASK</t>
  </si>
  <si>
    <t>libero</t>
  </si>
  <si>
    <t>DEFAULT GATEWAY</t>
  </si>
  <si>
    <t>+8</t>
  </si>
  <si>
    <t>IP LOOPBACK (lo) - SMART DCN IP</t>
  </si>
  <si>
    <t>+9</t>
  </si>
  <si>
    <t>+10</t>
  </si>
  <si>
    <t>+11</t>
  </si>
  <si>
    <t>+12</t>
  </si>
  <si>
    <r>
      <t>LMT PORT</t>
    </r>
    <r>
      <rPr>
        <sz val="11"/>
        <color rgb="FF000000"/>
        <rFont val="Calibri"/>
        <family val="2"/>
      </rPr>
      <t xml:space="preserve"> --&gt; </t>
    </r>
    <r>
      <rPr>
        <b/>
        <sz val="11"/>
        <color rgb="FF000000"/>
        <rFont val="Calibri"/>
        <family val="2"/>
      </rPr>
      <t>192.168.1.1</t>
    </r>
  </si>
  <si>
    <t>+13</t>
  </si>
  <si>
    <t>TAL</t>
  </si>
  <si>
    <t>+14</t>
  </si>
  <si>
    <t>gei-1/2/0/1</t>
  </si>
  <si>
    <t>+15</t>
  </si>
  <si>
    <t>Broadcast/28</t>
  </si>
  <si>
    <t>10.0.0.1 /30</t>
  </si>
  <si>
    <t>LAPTOP</t>
  </si>
  <si>
    <t>10.0.0.2 /30</t>
  </si>
  <si>
    <t xml:space="preserve"> 10.0.0.1 GW</t>
  </si>
  <si>
    <t>ROTTE STATICHE</t>
  </si>
  <si>
    <t>Default Route</t>
  </si>
  <si>
    <t>NEXT HOP</t>
  </si>
  <si>
    <t>0.0.0.0 0.0.0.0</t>
  </si>
  <si>
    <t>18.21.5.241</t>
  </si>
  <si>
    <t>Network/29</t>
  </si>
  <si>
    <t>FE/RF</t>
  </si>
  <si>
    <t>IP LOCALE</t>
  </si>
  <si>
    <t>Libero</t>
  </si>
  <si>
    <t>Broadcast/29</t>
  </si>
  <si>
    <t>IP LOCALE /32</t>
  </si>
  <si>
    <t>IP REMOTO 1  /32</t>
  </si>
  <si>
    <t>IP REMOTO 2 /32</t>
  </si>
  <si>
    <t>IP REMOTO 3 /32</t>
  </si>
  <si>
    <t>IP REMOTO 4 /32</t>
  </si>
  <si>
    <t>IP REMOTO 5/32</t>
  </si>
  <si>
    <t>IP LOOPBACK -SMART DCN IP</t>
  </si>
  <si>
    <t>VLAN DCN</t>
  </si>
  <si>
    <t>SUB INTERFACE</t>
  </si>
  <si>
    <t>netmask</t>
  </si>
  <si>
    <t>TACACS+</t>
  </si>
  <si>
    <t>50.2.157.8/29</t>
  </si>
  <si>
    <t>50.2.157.16/29</t>
  </si>
  <si>
    <t>180.2.25.0/25</t>
  </si>
  <si>
    <t>RISERVATO DACON</t>
  </si>
  <si>
    <t>GATEWAY</t>
  </si>
  <si>
    <t>BROADCAST</t>
  </si>
  <si>
    <t>255.255.255.255</t>
  </si>
  <si>
    <t>classi IP</t>
  </si>
  <si>
    <t>Rete huawei default</t>
  </si>
  <si>
    <t>255.0.0.0</t>
  </si>
  <si>
    <t>129.9.0</t>
  </si>
  <si>
    <t>255.128.0.0</t>
  </si>
  <si>
    <t>255.192.0.0</t>
  </si>
  <si>
    <t>255.224.0.0</t>
  </si>
  <si>
    <t>255.240.0.0</t>
  </si>
  <si>
    <t>255.248.0.0</t>
  </si>
  <si>
    <t>255.252.0.0</t>
  </si>
  <si>
    <t>255.254.0.0</t>
  </si>
  <si>
    <t>255.255.0.0</t>
  </si>
  <si>
    <t>255.255.128.0</t>
  </si>
  <si>
    <t>255.255.192.0</t>
  </si>
  <si>
    <t>255.255.224.0</t>
  </si>
  <si>
    <t>255.255.240.0</t>
  </si>
  <si>
    <t>255.255.248.0</t>
  </si>
  <si>
    <t>255.255.252.0</t>
  </si>
  <si>
    <t>255.255.254.0</t>
  </si>
  <si>
    <t>255.255.255.0</t>
  </si>
  <si>
    <t>255.255.255.128</t>
  </si>
  <si>
    <t>255.255.255.192</t>
  </si>
  <si>
    <t>255.255.255.224</t>
  </si>
  <si>
    <t>255.255.255.240</t>
  </si>
  <si>
    <t>255.255.255.248</t>
  </si>
  <si>
    <t>255.255.255.252</t>
  </si>
  <si>
    <t>Eri</t>
  </si>
  <si>
    <t>FI</t>
  </si>
  <si>
    <t>PA1</t>
  </si>
  <si>
    <t>PA2</t>
  </si>
  <si>
    <t>subnet: 160.2.151.0/29</t>
  </si>
  <si>
    <t>Nokia NFM-P</t>
  </si>
  <si>
    <t>Pomezia</t>
  </si>
  <si>
    <t>160.2.151.4/29</t>
  </si>
  <si>
    <t xml:space="preserve">192.168.200.65/32 </t>
  </si>
  <si>
    <t>192.168.200.120/32</t>
  </si>
  <si>
    <t>NR9250 LOCALE(Smart DCN)</t>
  </si>
  <si>
    <t>ER2020E-V LOCALE(Smart DCN)</t>
  </si>
  <si>
    <t xml:space="preserve">LOCALE </t>
  </si>
  <si>
    <t>REMOTO</t>
  </si>
  <si>
    <t>ER2020E-H LOCALE(Smart DCN)</t>
  </si>
  <si>
    <t>NR9250 REMOTA(Smart DCN)</t>
  </si>
  <si>
    <t>IP NR9250</t>
  </si>
  <si>
    <t>IP NR9250 - SMART DCN</t>
  </si>
  <si>
    <t>ER2020E-V REMOTA(Smart DCN)</t>
  </si>
  <si>
    <t>ER2020E-H REMOTA(Smart DCN)</t>
  </si>
  <si>
    <t>IP ER2020E -V - SMART DCN</t>
  </si>
  <si>
    <t>IP ER2020E-V - SMART DCN</t>
  </si>
  <si>
    <t>IP ER2020E -H - SMART DCN</t>
  </si>
  <si>
    <t>IP ER2020E-H - SMART DCN</t>
  </si>
  <si>
    <t>BROADCAST/28</t>
  </si>
  <si>
    <t>LMT PORT --&gt; 192.168.1.1</t>
  </si>
  <si>
    <t>TAL-NR9250_1</t>
  </si>
  <si>
    <t>TAL-NR9250_2</t>
  </si>
  <si>
    <t>10.0.0.1 GW</t>
  </si>
  <si>
    <t>ER2020E-V LOCALE</t>
  </si>
  <si>
    <t>ER2020E-V REMOTO</t>
  </si>
  <si>
    <t>gei-1/1/0/1</t>
  </si>
  <si>
    <t>10.0.0.3 /28</t>
  </si>
  <si>
    <t>10.0.0.5 /28</t>
  </si>
  <si>
    <t>10.0.0.2 /28</t>
  </si>
  <si>
    <t>ER2020E-H LOCALE</t>
  </si>
  <si>
    <t>ER2020E-H REMOTO</t>
  </si>
  <si>
    <t>10.0.0.4 /28</t>
  </si>
  <si>
    <t>10.0.0.6 /28</t>
  </si>
  <si>
    <t>0.0.0.0   0.0.0.0</t>
  </si>
  <si>
    <t>NR9250 LOCALE (DCN)</t>
  </si>
  <si>
    <t>IP LOCALE NR9250 (su GE o XGE)</t>
  </si>
  <si>
    <t>su gei0/1 o xgei0/3</t>
  </si>
  <si>
    <t>NEXT HOP H</t>
  </si>
  <si>
    <t>NEXT HOP V</t>
  </si>
  <si>
    <t>ER2020E remota H /32</t>
  </si>
  <si>
    <t>ER2020E locale H</t>
  </si>
  <si>
    <t>ER2020E locale V</t>
  </si>
  <si>
    <t>ER2020 POL. V</t>
  </si>
  <si>
    <t>Network Vs. Radio -H</t>
  </si>
  <si>
    <t>Network vs. DACON -H</t>
  </si>
  <si>
    <t>Network Vs. Radio -V</t>
  </si>
  <si>
    <t>Network vs. DACON -V</t>
  </si>
  <si>
    <t>IP SMART DCN IP LOCALE H</t>
  </si>
  <si>
    <t>IP SMART DCN IP LOCALE V</t>
  </si>
  <si>
    <t>IP INTERFACE LOCALE H</t>
  </si>
  <si>
    <t>IP INTERFACE LOCALE V</t>
  </si>
  <si>
    <t>IP REMOTO H /32</t>
  </si>
  <si>
    <t>IP LOCALE H /32</t>
  </si>
  <si>
    <t>IP LOCALE V /32</t>
  </si>
  <si>
    <t>IP LOCALE H/V</t>
  </si>
  <si>
    <t>IP REMOTO V /32</t>
  </si>
  <si>
    <t>ER2020E locale H /32</t>
  </si>
  <si>
    <t>ER2020E locale V/32</t>
  </si>
  <si>
    <t>ER2020E remota V/32</t>
  </si>
  <si>
    <t xml:space="preserve"> </t>
  </si>
  <si>
    <r>
      <t xml:space="preserve">Per la configurazione iniziale deve essere fornita al costruttore e/o alla ditta installatrice, dalle funzioni territoriali competenti: </t>
    </r>
    <r>
      <rPr>
        <b/>
        <sz val="11"/>
        <color theme="1"/>
        <rFont val="Arial"/>
        <family val="2"/>
      </rPr>
      <t xml:space="preserve">una network /29 </t>
    </r>
    <r>
      <rPr>
        <sz val="11"/>
        <color theme="1"/>
        <rFont val="Arial"/>
        <family val="2"/>
      </rPr>
      <t xml:space="preserve">avente maschera 255.255.255.248 (di seguito denominata Network /29); 
</t>
    </r>
    <r>
      <rPr>
        <b/>
        <sz val="11"/>
        <color theme="1"/>
        <rFont val="Arial"/>
        <family val="2"/>
      </rPr>
      <t>una network /28</t>
    </r>
    <r>
      <rPr>
        <sz val="11"/>
        <color theme="1"/>
        <rFont val="Arial"/>
        <family val="2"/>
      </rPr>
      <t xml:space="preserve"> avente maschera 255.255.255.240 (di seguito denominata Network /28) per poter indirizzare i terminali. 
Gli indirizzi devono essere utilizzati secondo quanto indicato nella Tabelle di seguito.</t>
    </r>
  </si>
  <si>
    <t>INDIRIZZAMENTO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</si>
</sst>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0"/>
      <name val="Verdana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0066FF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Arial"/>
      <family val="2"/>
    </font>
    <font>
      <sz val="9"/>
      <color rgb="FF0000FF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</font>
    <font>
      <b/>
      <u/>
      <sz val="12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rgb="FFC0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CCFF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FF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FF0000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FF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0000"/>
      </left>
      <right style="medium">
        <color rgb="FF0000FF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3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3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 applyAlignment="1">
      <alignment horizontal="left"/>
    </xf>
    <xf numFmtId="0" fontId="0" fillId="2" borderId="6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5" borderId="1" xfId="0" quotePrefix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quotePrefix="1" applyFont="1" applyFill="1" applyBorder="1" applyAlignment="1">
      <alignment horizontal="center" vertical="center"/>
    </xf>
    <xf numFmtId="1" fontId="8" fillId="4" borderId="1" xfId="0" quotePrefix="1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quotePrefix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12" fillId="0" borderId="0" xfId="0" applyFont="1"/>
    <xf numFmtId="0" fontId="13" fillId="8" borderId="0" xfId="0" applyFont="1" applyFill="1"/>
    <xf numFmtId="0" fontId="14" fillId="0" borderId="0" xfId="0" applyFont="1"/>
    <xf numFmtId="0" fontId="15" fillId="9" borderId="0" xfId="0" applyFont="1" applyFill="1"/>
    <xf numFmtId="0" fontId="16" fillId="0" borderId="0" xfId="0" applyFont="1"/>
    <xf numFmtId="0" fontId="17" fillId="10" borderId="7" xfId="0" applyFont="1" applyFill="1" applyBorder="1"/>
    <xf numFmtId="0" fontId="17" fillId="10" borderId="8" xfId="0" applyFont="1" applyFill="1" applyBorder="1"/>
    <xf numFmtId="0" fontId="17" fillId="10" borderId="6" xfId="0" applyFont="1" applyFill="1" applyBorder="1"/>
    <xf numFmtId="0" fontId="15" fillId="0" borderId="0" xfId="0" applyFont="1"/>
    <xf numFmtId="0" fontId="17" fillId="11" borderId="7" xfId="0" applyFont="1" applyFill="1" applyBorder="1"/>
    <xf numFmtId="0" fontId="17" fillId="11" borderId="8" xfId="0" applyFont="1" applyFill="1" applyBorder="1"/>
    <xf numFmtId="0" fontId="17" fillId="11" borderId="6" xfId="0" applyFont="1" applyFill="1" applyBorder="1"/>
    <xf numFmtId="0" fontId="14" fillId="0" borderId="5" xfId="0" applyFont="1" applyBorder="1"/>
    <xf numFmtId="3" fontId="14" fillId="0" borderId="15" xfId="0" applyNumberFormat="1" applyFont="1" applyBorder="1"/>
    <xf numFmtId="0" fontId="15" fillId="0" borderId="6" xfId="0" applyFont="1" applyBorder="1"/>
    <xf numFmtId="0" fontId="14" fillId="0" borderId="21" xfId="0" applyFont="1" applyBorder="1"/>
    <xf numFmtId="0" fontId="16" fillId="0" borderId="22" xfId="0" applyFont="1" applyBorder="1"/>
    <xf numFmtId="0" fontId="16" fillId="0" borderId="21" xfId="0" applyFont="1" applyBorder="1"/>
    <xf numFmtId="0" fontId="16" fillId="0" borderId="23" xfId="0" applyFont="1" applyBorder="1"/>
    <xf numFmtId="0" fontId="17" fillId="0" borderId="0" xfId="0" applyFont="1"/>
    <xf numFmtId="0" fontId="14" fillId="0" borderId="24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9" borderId="0" xfId="0" applyFont="1" applyFill="1"/>
    <xf numFmtId="0" fontId="15" fillId="9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5" fillId="10" borderId="7" xfId="0" applyFont="1" applyFill="1" applyBorder="1"/>
    <xf numFmtId="0" fontId="15" fillId="10" borderId="8" xfId="0" applyFont="1" applyFill="1" applyBorder="1"/>
    <xf numFmtId="0" fontId="15" fillId="0" borderId="28" xfId="0" applyFont="1" applyBorder="1" applyAlignment="1">
      <alignment wrapText="1"/>
    </xf>
    <xf numFmtId="0" fontId="18" fillId="14" borderId="29" xfId="0" applyFont="1" applyFill="1" applyBorder="1" applyAlignment="1">
      <alignment wrapText="1"/>
    </xf>
    <xf numFmtId="0" fontId="14" fillId="9" borderId="36" xfId="0" applyFont="1" applyFill="1" applyBorder="1" applyAlignment="1">
      <alignment wrapText="1"/>
    </xf>
    <xf numFmtId="0" fontId="15" fillId="10" borderId="9" xfId="0" applyFont="1" applyFill="1" applyBorder="1"/>
    <xf numFmtId="0" fontId="14" fillId="9" borderId="37" xfId="0" applyFont="1" applyFill="1" applyBorder="1" applyAlignment="1">
      <alignment wrapText="1"/>
    </xf>
    <xf numFmtId="0" fontId="14" fillId="9" borderId="38" xfId="0" applyFont="1" applyFill="1" applyBorder="1" applyAlignment="1">
      <alignment wrapText="1"/>
    </xf>
    <xf numFmtId="0" fontId="15" fillId="15" borderId="39" xfId="0" applyFont="1" applyFill="1" applyBorder="1" applyAlignment="1">
      <alignment wrapText="1"/>
    </xf>
    <xf numFmtId="0" fontId="15" fillId="0" borderId="40" xfId="0" applyFont="1" applyBorder="1" applyAlignment="1">
      <alignment wrapText="1"/>
    </xf>
    <xf numFmtId="0" fontId="14" fillId="9" borderId="28" xfId="0" applyFont="1" applyFill="1" applyBorder="1" applyAlignment="1">
      <alignment wrapText="1"/>
    </xf>
    <xf numFmtId="0" fontId="14" fillId="9" borderId="41" xfId="0" applyFont="1" applyFill="1" applyBorder="1" applyAlignment="1">
      <alignment wrapText="1"/>
    </xf>
    <xf numFmtId="0" fontId="14" fillId="9" borderId="42" xfId="0" applyFont="1" applyFill="1" applyBorder="1" applyAlignment="1">
      <alignment wrapText="1"/>
    </xf>
    <xf numFmtId="0" fontId="15" fillId="9" borderId="45" xfId="0" applyFont="1" applyFill="1" applyBorder="1" applyAlignment="1">
      <alignment wrapText="1"/>
    </xf>
    <xf numFmtId="0" fontId="15" fillId="9" borderId="41" xfId="0" applyFont="1" applyFill="1" applyBorder="1" applyAlignment="1">
      <alignment wrapText="1"/>
    </xf>
    <xf numFmtId="0" fontId="15" fillId="0" borderId="45" xfId="0" applyFont="1" applyBorder="1" applyAlignment="1">
      <alignment wrapText="1"/>
    </xf>
    <xf numFmtId="0" fontId="14" fillId="9" borderId="47" xfId="0" applyFont="1" applyFill="1" applyBorder="1" applyAlignment="1">
      <alignment wrapText="1"/>
    </xf>
    <xf numFmtId="0" fontId="14" fillId="9" borderId="48" xfId="0" applyFont="1" applyFill="1" applyBorder="1" applyAlignment="1">
      <alignment wrapText="1"/>
    </xf>
    <xf numFmtId="0" fontId="14" fillId="0" borderId="45" xfId="0" applyFont="1" applyBorder="1" applyAlignment="1">
      <alignment wrapText="1"/>
    </xf>
    <xf numFmtId="0" fontId="20" fillId="0" borderId="0" xfId="0" applyFont="1"/>
    <xf numFmtId="0" fontId="14" fillId="9" borderId="45" xfId="0" applyFont="1" applyFill="1" applyBorder="1" applyAlignment="1">
      <alignment wrapText="1"/>
    </xf>
    <xf numFmtId="0" fontId="14" fillId="9" borderId="51" xfId="0" applyFont="1" applyFill="1" applyBorder="1" applyAlignment="1">
      <alignment wrapText="1"/>
    </xf>
    <xf numFmtId="0" fontId="14" fillId="9" borderId="52" xfId="0" applyFont="1" applyFill="1" applyBorder="1" applyAlignment="1">
      <alignment wrapText="1"/>
    </xf>
    <xf numFmtId="0" fontId="14" fillId="0" borderId="53" xfId="0" applyFont="1" applyBorder="1" applyAlignment="1">
      <alignment wrapText="1"/>
    </xf>
    <xf numFmtId="0" fontId="15" fillId="0" borderId="0" xfId="0" applyFont="1" applyAlignment="1">
      <alignment wrapText="1"/>
    </xf>
    <xf numFmtId="0" fontId="17" fillId="18" borderId="7" xfId="0" applyFont="1" applyFill="1" applyBorder="1"/>
    <xf numFmtId="0" fontId="17" fillId="18" borderId="8" xfId="0" applyFont="1" applyFill="1" applyBorder="1"/>
    <xf numFmtId="0" fontId="17" fillId="18" borderId="6" xfId="0" applyFont="1" applyFill="1" applyBorder="1"/>
    <xf numFmtId="0" fontId="21" fillId="0" borderId="0" xfId="0" applyFont="1"/>
    <xf numFmtId="0" fontId="22" fillId="0" borderId="0" xfId="0" applyFont="1"/>
    <xf numFmtId="0" fontId="15" fillId="0" borderId="23" xfId="0" applyFont="1" applyBorder="1"/>
    <xf numFmtId="0" fontId="16" fillId="9" borderId="0" xfId="0" applyFont="1" applyFill="1"/>
    <xf numFmtId="0" fontId="17" fillId="9" borderId="0" xfId="0" applyFont="1" applyFill="1"/>
    <xf numFmtId="0" fontId="1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4" fillId="0" borderId="0" xfId="0" applyFont="1"/>
    <xf numFmtId="0" fontId="5" fillId="4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9" borderId="1" xfId="0" quotePrefix="1" applyFill="1" applyBorder="1" applyAlignment="1">
      <alignment horizontal="center" vertical="center"/>
    </xf>
    <xf numFmtId="1" fontId="0" fillId="19" borderId="1" xfId="0" quotePrefix="1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left" vertical="center"/>
    </xf>
    <xf numFmtId="1" fontId="25" fillId="19" borderId="1" xfId="0" quotePrefix="1" applyNumberFormat="1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10" fillId="19" borderId="1" xfId="0" quotePrefix="1" applyFont="1" applyFill="1" applyBorder="1" applyAlignment="1">
      <alignment horizontal="center" vertical="center"/>
    </xf>
    <xf numFmtId="1" fontId="10" fillId="19" borderId="1" xfId="0" quotePrefix="1" applyNumberFormat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26" fillId="19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4" fillId="4" borderId="1" xfId="0" applyFont="1" applyFill="1" applyBorder="1"/>
    <xf numFmtId="0" fontId="27" fillId="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/>
    </xf>
    <xf numFmtId="0" fontId="28" fillId="13" borderId="15" xfId="0" applyFont="1" applyFill="1" applyBorder="1"/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6" fillId="4" borderId="1" xfId="0" applyFont="1" applyFill="1" applyBorder="1" applyAlignment="1">
      <alignment horizontal="left" vertical="center"/>
    </xf>
    <xf numFmtId="0" fontId="1" fillId="20" borderId="15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  <xf numFmtId="0" fontId="0" fillId="0" borderId="54" xfId="0" applyBorder="1" applyAlignment="1">
      <alignment horizontal="center" vertical="center"/>
    </xf>
    <xf numFmtId="0" fontId="32" fillId="0" borderId="5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57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3" fontId="0" fillId="0" borderId="60" xfId="0" applyNumberForma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5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/>
    <xf numFmtId="0" fontId="1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3" fontId="5" fillId="0" borderId="61" xfId="0" applyNumberFormat="1" applyFont="1" applyBorder="1" applyAlignment="1">
      <alignment horizontal="center" vertical="center"/>
    </xf>
    <xf numFmtId="3" fontId="5" fillId="22" borderId="62" xfId="0" applyNumberFormat="1" applyFont="1" applyFill="1" applyBorder="1" applyAlignment="1">
      <alignment horizontal="center" vertical="center"/>
    </xf>
    <xf numFmtId="0" fontId="0" fillId="22" borderId="24" xfId="0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3" fontId="5" fillId="4" borderId="62" xfId="0" applyNumberFormat="1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1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0" fontId="0" fillId="23" borderId="1" xfId="0" applyFill="1" applyBorder="1" applyAlignment="1">
      <alignment horizontal="left" vertical="center"/>
    </xf>
    <xf numFmtId="0" fontId="0" fillId="23" borderId="1" xfId="0" quotePrefix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4" fillId="6" borderId="0" xfId="0" applyFont="1" applyFill="1" applyAlignment="1">
      <alignment horizontal="center" vertical="center"/>
    </xf>
    <xf numFmtId="1" fontId="0" fillId="23" borderId="1" xfId="0" quotePrefix="1" applyNumberForma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/>
    </xf>
    <xf numFmtId="0" fontId="5" fillId="23" borderId="1" xfId="0" applyFont="1" applyFill="1" applyBorder="1" applyAlignment="1">
      <alignment horizontal="left" vertical="center"/>
    </xf>
    <xf numFmtId="0" fontId="25" fillId="23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" fontId="0" fillId="7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left" vertical="center"/>
    </xf>
    <xf numFmtId="1" fontId="25" fillId="7" borderId="1" xfId="0" quotePrefix="1" applyNumberFormat="1" applyFont="1" applyFill="1" applyBorder="1" applyAlignment="1">
      <alignment horizontal="center" vertical="center"/>
    </xf>
    <xf numFmtId="0" fontId="0" fillId="0" borderId="57" xfId="0" applyBorder="1" applyAlignment="1">
      <alignment horizontal="left"/>
    </xf>
    <xf numFmtId="0" fontId="0" fillId="0" borderId="57" xfId="0" applyBorder="1"/>
    <xf numFmtId="0" fontId="35" fillId="8" borderId="65" xfId="0" applyFont="1" applyFill="1" applyBorder="1"/>
    <xf numFmtId="0" fontId="0" fillId="7" borderId="15" xfId="0" applyFill="1" applyBorder="1" applyAlignment="1">
      <alignment horizontal="left" vertical="center"/>
    </xf>
    <xf numFmtId="1" fontId="0" fillId="7" borderId="15" xfId="0" quotePrefix="1" applyNumberFormat="1" applyFill="1" applyBorder="1" applyAlignment="1">
      <alignment horizontal="center" vertical="center"/>
    </xf>
    <xf numFmtId="0" fontId="0" fillId="7" borderId="15" xfId="0" quotePrefix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5" fillId="19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left" vertical="center"/>
    </xf>
    <xf numFmtId="1" fontId="25" fillId="4" borderId="1" xfId="0" quotePrefix="1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0" fillId="4" borderId="15" xfId="0" applyFill="1" applyBorder="1" applyAlignment="1">
      <alignment horizontal="left" vertical="center"/>
    </xf>
    <xf numFmtId="1" fontId="0" fillId="4" borderId="15" xfId="0" quotePrefix="1" applyNumberFormat="1" applyFill="1" applyBorder="1" applyAlignment="1">
      <alignment horizontal="center" vertical="center"/>
    </xf>
    <xf numFmtId="0" fontId="0" fillId="4" borderId="15" xfId="0" quotePrefix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16" fillId="0" borderId="27" xfId="0" applyFont="1" applyBorder="1"/>
    <xf numFmtId="0" fontId="16" fillId="0" borderId="2" xfId="0" applyFont="1" applyBorder="1"/>
    <xf numFmtId="0" fontId="16" fillId="0" borderId="69" xfId="0" applyFont="1" applyBorder="1"/>
    <xf numFmtId="0" fontId="29" fillId="23" borderId="6" xfId="0" applyFont="1" applyFill="1" applyBorder="1" applyAlignment="1">
      <alignment horizontal="center"/>
    </xf>
    <xf numFmtId="1" fontId="29" fillId="23" borderId="8" xfId="0" applyNumberFormat="1" applyFont="1" applyFill="1" applyBorder="1" applyAlignment="1">
      <alignment horizontal="center"/>
    </xf>
    <xf numFmtId="0" fontId="29" fillId="23" borderId="8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16" fillId="0" borderId="64" xfId="0" applyFont="1" applyBorder="1"/>
    <xf numFmtId="0" fontId="37" fillId="0" borderId="0" xfId="0" applyFont="1"/>
    <xf numFmtId="0" fontId="0" fillId="0" borderId="63" xfId="0" applyBorder="1"/>
    <xf numFmtId="0" fontId="1" fillId="0" borderId="64" xfId="0" applyFont="1" applyBorder="1"/>
    <xf numFmtId="0" fontId="29" fillId="7" borderId="6" xfId="0" applyFont="1" applyFill="1" applyBorder="1" applyAlignment="1">
      <alignment horizontal="center"/>
    </xf>
    <xf numFmtId="1" fontId="29" fillId="7" borderId="8" xfId="0" applyNumberFormat="1" applyFont="1" applyFill="1" applyBorder="1" applyAlignment="1">
      <alignment horizontal="center"/>
    </xf>
    <xf numFmtId="0" fontId="29" fillId="7" borderId="8" xfId="0" applyFont="1" applyFill="1" applyBorder="1" applyAlignment="1">
      <alignment horizontal="center"/>
    </xf>
    <xf numFmtId="0" fontId="29" fillId="7" borderId="7" xfId="0" applyFont="1" applyFill="1" applyBorder="1" applyAlignment="1">
      <alignment horizontal="center"/>
    </xf>
    <xf numFmtId="0" fontId="0" fillId="0" borderId="66" xfId="0" applyBorder="1"/>
    <xf numFmtId="0" fontId="0" fillId="0" borderId="3" xfId="0" applyBorder="1"/>
    <xf numFmtId="0" fontId="0" fillId="0" borderId="67" xfId="0" applyBorder="1"/>
    <xf numFmtId="0" fontId="29" fillId="19" borderId="6" xfId="0" applyFont="1" applyFill="1" applyBorder="1" applyAlignment="1">
      <alignment horizontal="center"/>
    </xf>
    <xf numFmtId="1" fontId="29" fillId="19" borderId="8" xfId="0" applyNumberFormat="1" applyFont="1" applyFill="1" applyBorder="1" applyAlignment="1">
      <alignment horizontal="center"/>
    </xf>
    <xf numFmtId="0" fontId="29" fillId="19" borderId="8" xfId="0" applyFont="1" applyFill="1" applyBorder="1" applyAlignment="1">
      <alignment horizontal="center"/>
    </xf>
    <xf numFmtId="0" fontId="29" fillId="19" borderId="7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1" fontId="29" fillId="2" borderId="8" xfId="0" applyNumberFormat="1" applyFont="1" applyFill="1" applyBorder="1" applyAlignment="1">
      <alignment horizontal="center"/>
    </xf>
    <xf numFmtId="0" fontId="29" fillId="2" borderId="8" xfId="0" applyFont="1" applyFill="1" applyBorder="1" applyAlignment="1">
      <alignment horizontal="center"/>
    </xf>
    <xf numFmtId="0" fontId="29" fillId="4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7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/>
    <xf numFmtId="0" fontId="5" fillId="19" borderId="1" xfId="0" applyFont="1" applyFill="1" applyBorder="1" applyAlignment="1">
      <alignment horizontal="center"/>
    </xf>
    <xf numFmtId="0" fontId="1" fillId="19" borderId="1" xfId="0" applyFont="1" applyFill="1" applyBorder="1"/>
    <xf numFmtId="0" fontId="7" fillId="4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7" fillId="4" borderId="15" xfId="0" applyFont="1" applyFill="1" applyBorder="1" applyAlignment="1">
      <alignment horizontal="center"/>
    </xf>
    <xf numFmtId="0" fontId="1" fillId="4" borderId="15" xfId="0" applyFont="1" applyFill="1" applyBorder="1"/>
    <xf numFmtId="0" fontId="25" fillId="4" borderId="12" xfId="0" applyFont="1" applyFill="1" applyBorder="1" applyAlignment="1">
      <alignment horizontal="center"/>
    </xf>
    <xf numFmtId="0" fontId="1" fillId="4" borderId="11" xfId="0" applyFont="1" applyFill="1" applyBorder="1"/>
    <xf numFmtId="0" fontId="13" fillId="8" borderId="15" xfId="0" applyFont="1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1" fontId="10" fillId="4" borderId="1" xfId="0" quotePrefix="1" applyNumberFormat="1" applyFont="1" applyFill="1" applyBorder="1" applyAlignment="1">
      <alignment horizontal="center" vertical="center"/>
    </xf>
    <xf numFmtId="0" fontId="10" fillId="4" borderId="1" xfId="0" quotePrefix="1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left" vertical="center"/>
    </xf>
    <xf numFmtId="0" fontId="0" fillId="0" borderId="57" xfId="0" applyBorder="1" applyAlignment="1">
      <alignment horizontal="center"/>
    </xf>
    <xf numFmtId="0" fontId="13" fillId="8" borderId="65" xfId="0" applyFont="1" applyFill="1" applyBorder="1" applyAlignment="1">
      <alignment horizontal="center"/>
    </xf>
    <xf numFmtId="0" fontId="25" fillId="19" borderId="8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1" fontId="25" fillId="2" borderId="8" xfId="0" applyNumberFormat="1" applyFont="1" applyFill="1" applyBorder="1" applyAlignment="1">
      <alignment horizontal="center"/>
    </xf>
    <xf numFmtId="0" fontId="25" fillId="2" borderId="8" xfId="0" applyFont="1" applyFill="1" applyBorder="1" applyAlignment="1">
      <alignment horizontal="center"/>
    </xf>
    <xf numFmtId="0" fontId="25" fillId="2" borderId="7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1" fillId="0" borderId="0" xfId="0" applyFont="1"/>
    <xf numFmtId="0" fontId="42" fillId="0" borderId="0" xfId="0" applyFont="1" applyAlignment="1">
      <alignment horizontal="justify" vertical="center" wrapText="1"/>
    </xf>
    <xf numFmtId="0" fontId="0" fillId="4" borderId="0" xfId="0" applyFill="1" applyAlignment="1">
      <alignment horizontal="center"/>
    </xf>
    <xf numFmtId="0" fontId="15" fillId="0" borderId="7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9" borderId="44" xfId="0" applyFont="1" applyFill="1" applyBorder="1" applyAlignment="1">
      <alignment wrapText="1"/>
    </xf>
    <xf numFmtId="0" fontId="14" fillId="9" borderId="33" xfId="0" applyFont="1" applyFill="1" applyBorder="1" applyAlignment="1">
      <alignment wrapText="1"/>
    </xf>
    <xf numFmtId="0" fontId="14" fillId="9" borderId="46" xfId="0" applyFont="1" applyFill="1" applyBorder="1" applyAlignment="1">
      <alignment wrapText="1"/>
    </xf>
    <xf numFmtId="0" fontId="14" fillId="9" borderId="35" xfId="0" applyFont="1" applyFill="1" applyBorder="1" applyAlignment="1">
      <alignment wrapText="1"/>
    </xf>
    <xf numFmtId="0" fontId="14" fillId="9" borderId="34" xfId="0" applyFont="1" applyFill="1" applyBorder="1" applyAlignment="1">
      <alignment wrapText="1"/>
    </xf>
    <xf numFmtId="0" fontId="14" fillId="9" borderId="44" xfId="0" applyFont="1" applyFill="1" applyBorder="1" applyAlignment="1">
      <alignment wrapText="1"/>
    </xf>
    <xf numFmtId="0" fontId="14" fillId="9" borderId="49" xfId="0" applyFont="1" applyFill="1" applyBorder="1" applyAlignment="1">
      <alignment wrapText="1"/>
    </xf>
    <xf numFmtId="0" fontId="14" fillId="17" borderId="35" xfId="0" applyFont="1" applyFill="1" applyBorder="1" applyAlignment="1">
      <alignment wrapText="1"/>
    </xf>
    <xf numFmtId="0" fontId="14" fillId="17" borderId="50" xfId="0" applyFont="1" applyFill="1" applyBorder="1" applyAlignment="1">
      <alignment wrapText="1"/>
    </xf>
    <xf numFmtId="0" fontId="15" fillId="15" borderId="31" xfId="0" applyFont="1" applyFill="1" applyBorder="1" applyAlignment="1">
      <alignment wrapText="1"/>
    </xf>
    <xf numFmtId="0" fontId="15" fillId="15" borderId="30" xfId="0" applyFont="1" applyFill="1" applyBorder="1" applyAlignment="1">
      <alignment wrapText="1"/>
    </xf>
    <xf numFmtId="0" fontId="18" fillId="14" borderId="33" xfId="0" applyFont="1" applyFill="1" applyBorder="1" applyAlignment="1">
      <alignment wrapText="1"/>
    </xf>
    <xf numFmtId="0" fontId="18" fillId="14" borderId="32" xfId="0" applyFont="1" applyFill="1" applyBorder="1" applyAlignment="1">
      <alignment wrapText="1"/>
    </xf>
    <xf numFmtId="0" fontId="15" fillId="9" borderId="43" xfId="0" applyFont="1" applyFill="1" applyBorder="1" applyAlignment="1">
      <alignment wrapText="1"/>
    </xf>
    <xf numFmtId="0" fontId="14" fillId="16" borderId="35" xfId="0" applyFont="1" applyFill="1" applyBorder="1" applyAlignment="1">
      <alignment wrapText="1"/>
    </xf>
    <xf numFmtId="0" fontId="14" fillId="16" borderId="34" xfId="0" applyFont="1" applyFill="1" applyBorder="1" applyAlignment="1">
      <alignment wrapText="1"/>
    </xf>
    <xf numFmtId="0" fontId="15" fillId="0" borderId="0" xfId="0" applyFont="1" applyAlignment="1"/>
    <xf numFmtId="0" fontId="15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5" fillId="0" borderId="16" xfId="0" applyFont="1" applyBorder="1" applyAlignment="1"/>
    <xf numFmtId="0" fontId="15" fillId="0" borderId="17" xfId="0" applyFont="1" applyBorder="1" applyAlignment="1"/>
    <xf numFmtId="0" fontId="15" fillId="9" borderId="0" xfId="0" applyFont="1" applyFill="1" applyAlignment="1"/>
    <xf numFmtId="0" fontId="18" fillId="9" borderId="0" xfId="0" applyFont="1" applyFill="1" applyAlignment="1"/>
    <xf numFmtId="0" fontId="14" fillId="9" borderId="0" xfId="0" applyFont="1" applyFill="1" applyAlignment="1"/>
    <xf numFmtId="0" fontId="15" fillId="9" borderId="0" xfId="0" applyFont="1" applyFill="1" applyAlignment="1">
      <alignment wrapText="1"/>
    </xf>
    <xf numFmtId="0" fontId="19" fillId="9" borderId="0" xfId="0" applyFont="1" applyFill="1" applyAlignment="1">
      <alignment wrapText="1"/>
    </xf>
    <xf numFmtId="0" fontId="0" fillId="19" borderId="13" xfId="0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15" fillId="12" borderId="10" xfId="0" applyFont="1" applyFill="1" applyBorder="1" applyAlignment="1"/>
    <xf numFmtId="0" fontId="15" fillId="12" borderId="4" xfId="0" applyFont="1" applyFill="1" applyBorder="1" applyAlignment="1"/>
    <xf numFmtId="0" fontId="15" fillId="12" borderId="20" xfId="0" applyFont="1" applyFill="1" applyBorder="1" applyAlignment="1"/>
    <xf numFmtId="0" fontId="14" fillId="0" borderId="0" xfId="0" applyFont="1" applyAlignment="1"/>
    <xf numFmtId="0" fontId="14" fillId="10" borderId="13" xfId="0" applyFont="1" applyFill="1" applyBorder="1" applyAlignment="1"/>
    <xf numFmtId="0" fontId="14" fillId="10" borderId="14" xfId="0" applyFont="1" applyFill="1" applyBorder="1" applyAlignment="1"/>
    <xf numFmtId="0" fontId="14" fillId="10" borderId="19" xfId="0" applyFont="1" applyFill="1" applyBorder="1" applyAlignment="1"/>
    <xf numFmtId="0" fontId="10" fillId="4" borderId="1" xfId="0" applyFont="1" applyFill="1" applyBorder="1" applyAlignment="1">
      <alignment horizontal="center" vertical="center"/>
    </xf>
    <xf numFmtId="0" fontId="14" fillId="0" borderId="5" xfId="0" applyFont="1" applyBorder="1" applyAlignment="1"/>
    <xf numFmtId="0" fontId="15" fillId="11" borderId="7" xfId="0" applyFont="1" applyFill="1" applyBorder="1" applyAlignment="1"/>
    <xf numFmtId="0" fontId="15" fillId="11" borderId="8" xfId="0" applyFont="1" applyFill="1" applyBorder="1" applyAlignment="1"/>
    <xf numFmtId="0" fontId="15" fillId="11" borderId="18" xfId="0" applyFont="1" applyFill="1" applyBorder="1" applyAlignment="1"/>
    <xf numFmtId="0" fontId="10" fillId="19" borderId="13" xfId="0" applyFont="1" applyFill="1" applyBorder="1" applyAlignment="1">
      <alignment horizontal="center" vertical="center"/>
    </xf>
    <xf numFmtId="0" fontId="10" fillId="19" borderId="14" xfId="0" applyFont="1" applyFill="1" applyBorder="1" applyAlignment="1">
      <alignment horizontal="center" vertical="center"/>
    </xf>
    <xf numFmtId="0" fontId="10" fillId="19" borderId="15" xfId="0" applyFont="1" applyFill="1" applyBorder="1" applyAlignment="1">
      <alignment horizontal="center" vertical="center"/>
    </xf>
    <xf numFmtId="0" fontId="15" fillId="12" borderId="7" xfId="0" applyFont="1" applyFill="1" applyBorder="1" applyAlignment="1"/>
    <xf numFmtId="0" fontId="15" fillId="12" borderId="8" xfId="0" applyFont="1" applyFill="1" applyBorder="1" applyAlignment="1"/>
    <xf numFmtId="0" fontId="15" fillId="12" borderId="18" xfId="0" applyFont="1" applyFill="1" applyBorder="1" applyAlignment="1"/>
    <xf numFmtId="0" fontId="18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23" fillId="0" borderId="0" xfId="0" applyFont="1" applyAlignment="1"/>
    <xf numFmtId="0" fontId="19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/>
    <xf numFmtId="0" fontId="5" fillId="5" borderId="7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4" borderId="6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4" borderId="6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5" fillId="23" borderId="67" xfId="0" applyFont="1" applyFill="1" applyBorder="1" applyAlignment="1">
      <alignment horizontal="center"/>
    </xf>
    <xf numFmtId="0" fontId="5" fillId="23" borderId="8" xfId="0" applyFont="1" applyFill="1" applyBorder="1" applyAlignment="1">
      <alignment horizontal="center"/>
    </xf>
    <xf numFmtId="0" fontId="5" fillId="23" borderId="66" xfId="0" applyFont="1" applyFill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3" xfId="0" applyBorder="1" applyAlignment="1">
      <alignment horizontal="center"/>
    </xf>
    <xf numFmtId="0" fontId="5" fillId="19" borderId="67" xfId="0" applyFont="1" applyFill="1" applyBorder="1" applyAlignment="1">
      <alignment horizontal="center"/>
    </xf>
    <xf numFmtId="0" fontId="5" fillId="19" borderId="8" xfId="0" applyFont="1" applyFill="1" applyBorder="1" applyAlignment="1">
      <alignment horizontal="center"/>
    </xf>
    <xf numFmtId="0" fontId="5" fillId="19" borderId="66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0" fontId="5" fillId="19" borderId="7" xfId="0" applyFont="1" applyFill="1" applyBorder="1" applyAlignment="1">
      <alignment horizontal="center"/>
    </xf>
    <xf numFmtId="0" fontId="5" fillId="19" borderId="9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66FF"/>
      <color rgb="FF00FF99"/>
      <color rgb="FF66CCFF"/>
      <color rgb="FFFFFF66"/>
      <color rgb="FF00FF00"/>
      <color rgb="FF97ECF7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60960</xdr:rowOff>
    </xdr:from>
    <xdr:to>
      <xdr:col>0</xdr:col>
      <xdr:colOff>3259226</xdr:colOff>
      <xdr:row>3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12463-5E13-FC73-8B3E-BA1633460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60960"/>
          <a:ext cx="3259226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6170700</xdr:colOff>
      <xdr:row>0</xdr:row>
      <xdr:rowOff>62464</xdr:rowOff>
    </xdr:from>
    <xdr:to>
      <xdr:col>0</xdr:col>
      <xdr:colOff>7530870</xdr:colOff>
      <xdr:row>3</xdr:row>
      <xdr:rowOff>162327</xdr:rowOff>
    </xdr:to>
    <xdr:pic>
      <xdr:nvPicPr>
        <xdr:cNvPr id="4" name="Picture 3" descr="ZTE – Asit Online Store">
          <a:extLst>
            <a:ext uri="{FF2B5EF4-FFF2-40B4-BE49-F238E27FC236}">
              <a16:creationId xmlns:a16="http://schemas.microsoft.com/office/drawing/2014/main" id="{D972FC61-268E-1AEC-640D-F2CEE32C8B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24" t="34068" r="24410" b="33596"/>
        <a:stretch/>
      </xdr:blipFill>
      <xdr:spPr bwMode="auto">
        <a:xfrm>
          <a:off x="7313700" y="62464"/>
          <a:ext cx="1360170" cy="648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12</xdr:row>
      <xdr:rowOff>76200</xdr:rowOff>
    </xdr:from>
    <xdr:to>
      <xdr:col>9</xdr:col>
      <xdr:colOff>400050</xdr:colOff>
      <xdr:row>17</xdr:row>
      <xdr:rowOff>161925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D8A119CA-F5A5-61E5-A2C3-4CDFCF275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2428875"/>
          <a:ext cx="2571750" cy="1038225"/>
        </a:xfrm>
        <a:prstGeom prst="rect">
          <a:avLst/>
        </a:prstGeom>
      </xdr:spPr>
    </xdr:pic>
    <xdr:clientData/>
  </xdr:twoCellAnchor>
  <xdr:twoCellAnchor editAs="oneCell">
    <xdr:from>
      <xdr:col>9</xdr:col>
      <xdr:colOff>923925</xdr:colOff>
      <xdr:row>12</xdr:row>
      <xdr:rowOff>85725</xdr:rowOff>
    </xdr:from>
    <xdr:to>
      <xdr:col>13</xdr:col>
      <xdr:colOff>914400</xdr:colOff>
      <xdr:row>18</xdr:row>
      <xdr:rowOff>114300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A865A77E-82C3-330E-A9C8-1B3D6B1ABCF0}"/>
            </a:ext>
            <a:ext uri="{147F2762-F138-4A5C-976F-8EAC2B608ADB}">
              <a16:predDERef xmlns:a16="http://schemas.microsoft.com/office/drawing/2014/main" pred="{D8A119CA-F5A5-61E5-A2C3-4CDFCF275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5" y="2438400"/>
          <a:ext cx="3343275" cy="1171575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685800</xdr:colOff>
      <xdr:row>12</xdr:row>
      <xdr:rowOff>171450</xdr:rowOff>
    </xdr:from>
    <xdr:to>
      <xdr:col>17</xdr:col>
      <xdr:colOff>819150</xdr:colOff>
      <xdr:row>18</xdr:row>
      <xdr:rowOff>95250</xdr:rowOff>
    </xdr:to>
    <xdr:pic>
      <xdr:nvPicPr>
        <xdr:cNvPr id="22" name="Picture 3">
          <a:extLst>
            <a:ext uri="{FF2B5EF4-FFF2-40B4-BE49-F238E27FC236}">
              <a16:creationId xmlns:a16="http://schemas.microsoft.com/office/drawing/2014/main" id="{0053C8C8-8B81-1D63-09EA-0699CD9DEC2F}"/>
            </a:ext>
            <a:ext uri="{147F2762-F138-4A5C-976F-8EAC2B608ADB}">
              <a16:predDERef xmlns:a16="http://schemas.microsoft.com/office/drawing/2014/main" pred="{A865A77E-82C3-330E-A9C8-1B3D6B1AB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2200" y="2524125"/>
          <a:ext cx="3486150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13</xdr:row>
      <xdr:rowOff>133350</xdr:rowOff>
    </xdr:from>
    <xdr:to>
      <xdr:col>6</xdr:col>
      <xdr:colOff>533400</xdr:colOff>
      <xdr:row>16</xdr:row>
      <xdr:rowOff>38100</xdr:rowOff>
    </xdr:to>
    <xdr:pic>
      <xdr:nvPicPr>
        <xdr:cNvPr id="25" name="Picture 4">
          <a:extLst>
            <a:ext uri="{FF2B5EF4-FFF2-40B4-BE49-F238E27FC236}">
              <a16:creationId xmlns:a16="http://schemas.microsoft.com/office/drawing/2014/main" id="{06B30085-C67B-C5D0-03C6-2250591644C6}"/>
            </a:ext>
            <a:ext uri="{147F2762-F138-4A5C-976F-8EAC2B608ADB}">
              <a16:predDERef xmlns:a16="http://schemas.microsoft.com/office/drawing/2014/main" pred="{0053C8C8-8B81-1D63-09EA-0699CD9DE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4275" y="2676525"/>
          <a:ext cx="466725" cy="476250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15</xdr:row>
      <xdr:rowOff>23813</xdr:rowOff>
    </xdr:from>
    <xdr:to>
      <xdr:col>7</xdr:col>
      <xdr:colOff>142875</xdr:colOff>
      <xdr:row>15</xdr:row>
      <xdr:rowOff>28575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13195AF-1E31-71E6-94ED-35ED97A95B46}"/>
            </a:ext>
            <a:ext uri="{147F2762-F138-4A5C-976F-8EAC2B608ADB}">
              <a16:predDERef xmlns:a16="http://schemas.microsoft.com/office/drawing/2014/main" pred="{06B30085-C67B-C5D0-03C6-2250591644C6}"/>
            </a:ext>
          </a:extLst>
        </xdr:cNvPr>
        <xdr:cNvCxnSpPr>
          <a:cxnSpLocks/>
          <a:endCxn id="15" idx="1"/>
          <a:extLst>
            <a:ext uri="{5F17804C-33F3-41E3-A699-7DCFA2EF7971}">
              <a16:cxnDERefs xmlns:a16="http://schemas.microsoft.com/office/drawing/2014/main" st="{00000000-0000-0000-0000-000000000000}" end="{D8A119CA-F5A5-61E5-A2C3-4CDFCF2756B0}"/>
            </a:ext>
          </a:extLst>
        </xdr:cNvCxnSpPr>
      </xdr:nvCxnSpPr>
      <xdr:spPr>
        <a:xfrm flipV="1">
          <a:off x="4152900" y="2947988"/>
          <a:ext cx="25717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2</xdr:row>
      <xdr:rowOff>0</xdr:rowOff>
    </xdr:from>
    <xdr:to>
      <xdr:col>9</xdr:col>
      <xdr:colOff>832433</xdr:colOff>
      <xdr:row>6</xdr:row>
      <xdr:rowOff>110806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A1733339-8950-4294-85C0-8291002B495E}"/>
            </a:ext>
            <a:ext uri="{147F2762-F138-4A5C-976F-8EAC2B608ADB}">
              <a16:predDERef xmlns:a16="http://schemas.microsoft.com/office/drawing/2014/main" pred="{313195AF-1E31-71E6-94ED-35ED97A95B46}"/>
            </a:ext>
          </a:extLst>
        </xdr:cNvPr>
        <xdr:cNvSpPr>
          <a:spLocks noChangeArrowheads="1"/>
        </xdr:cNvSpPr>
      </xdr:nvSpPr>
      <xdr:spPr bwMode="auto">
        <a:xfrm>
          <a:off x="4429125" y="381000"/>
          <a:ext cx="2346908" cy="872806"/>
        </a:xfrm>
        <a:prstGeom prst="leftArrow">
          <a:avLst>
            <a:gd name="adj1" fmla="val 50000"/>
            <a:gd name="adj2" fmla="val 68377"/>
          </a:avLst>
        </a:prstGeom>
        <a:solidFill>
          <a:srgbClr val="FFC000"/>
        </a:solidFill>
        <a:ln w="25400" algn="ctr">
          <a:solidFill>
            <a:srgbClr val="000000"/>
          </a:solidFill>
          <a:miter lim="800000"/>
          <a:headEnd/>
          <a:tailEnd/>
        </a:ln>
      </xdr:spPr>
      <xdr:txBody>
        <a:bodyPr wrap="square" lIns="36576" tIns="32004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INSERIRE LE NETWORK ASSEGNATE</a:t>
          </a:r>
        </a:p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(/29 e /28)</a:t>
          </a:r>
          <a:endParaRPr lang="it-IT" sz="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10</xdr:row>
      <xdr:rowOff>171450</xdr:rowOff>
    </xdr:from>
    <xdr:to>
      <xdr:col>9</xdr:col>
      <xdr:colOff>933450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3CA5FD-953C-2E34-9400-249FA098A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2076450"/>
          <a:ext cx="2495550" cy="942975"/>
        </a:xfrm>
        <a:prstGeom prst="rect">
          <a:avLst/>
        </a:prstGeom>
      </xdr:spPr>
    </xdr:pic>
    <xdr:clientData/>
  </xdr:twoCellAnchor>
  <xdr:twoCellAnchor editAs="oneCell">
    <xdr:from>
      <xdr:col>9</xdr:col>
      <xdr:colOff>895350</xdr:colOff>
      <xdr:row>10</xdr:row>
      <xdr:rowOff>152400</xdr:rowOff>
    </xdr:from>
    <xdr:to>
      <xdr:col>14</xdr:col>
      <xdr:colOff>38100</xdr:colOff>
      <xdr:row>16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E1998C-2E96-D3EB-72E1-0D86B14135AD}"/>
            </a:ext>
            <a:ext uri="{147F2762-F138-4A5C-976F-8EAC2B608ADB}">
              <a16:predDERef xmlns:a16="http://schemas.microsoft.com/office/drawing/2014/main" pred="{373CA5FD-953C-2E34-9400-249FA098A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50" y="2057400"/>
          <a:ext cx="3457575" cy="10858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952500</xdr:colOff>
      <xdr:row>10</xdr:row>
      <xdr:rowOff>104775</xdr:rowOff>
    </xdr:from>
    <xdr:to>
      <xdr:col>17</xdr:col>
      <xdr:colOff>866775</xdr:colOff>
      <xdr:row>16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E9C26E-ADE5-F231-452B-6B8EFA36645C}"/>
            </a:ext>
            <a:ext uri="{147F2762-F138-4A5C-976F-8EAC2B608ADB}">
              <a16:predDERef xmlns:a16="http://schemas.microsoft.com/office/drawing/2014/main" pred="{54E1998C-2E96-D3EB-72E1-0D86B1413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48900" y="2009775"/>
          <a:ext cx="3267075" cy="1133475"/>
        </a:xfrm>
        <a:prstGeom prst="rect">
          <a:avLst/>
        </a:prstGeom>
      </xdr:spPr>
    </xdr:pic>
    <xdr:clientData/>
  </xdr:twoCellAnchor>
  <xdr:twoCellAnchor editAs="oneCell">
    <xdr:from>
      <xdr:col>5</xdr:col>
      <xdr:colOff>590550</xdr:colOff>
      <xdr:row>12</xdr:row>
      <xdr:rowOff>76200</xdr:rowOff>
    </xdr:from>
    <xdr:to>
      <xdr:col>6</xdr:col>
      <xdr:colOff>409575</xdr:colOff>
      <xdr:row>14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61F7BA-6578-2B84-B9AA-A681A5E32C68}"/>
            </a:ext>
            <a:ext uri="{147F2762-F138-4A5C-976F-8EAC2B608ADB}">
              <a16:predDERef xmlns:a16="http://schemas.microsoft.com/office/drawing/2014/main" pred="{F8E9C26E-ADE5-F231-452B-6B8EFA366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38550" y="2362200"/>
          <a:ext cx="428625" cy="447675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13</xdr:row>
      <xdr:rowOff>71438</xdr:rowOff>
    </xdr:from>
    <xdr:to>
      <xdr:col>7</xdr:col>
      <xdr:colOff>114300</xdr:colOff>
      <xdr:row>13</xdr:row>
      <xdr:rowOff>109538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F0A0BC2-58A0-CDD2-07C4-ACE23F9FDB91}"/>
            </a:ext>
            <a:ext uri="{147F2762-F138-4A5C-976F-8EAC2B608ADB}">
              <a16:predDERef xmlns:a16="http://schemas.microsoft.com/office/drawing/2014/main" pred="{4861F7BA-6578-2B84-B9AA-A681A5E32C68}"/>
            </a:ext>
          </a:extLst>
        </xdr:cNvPr>
        <xdr:cNvCxnSpPr>
          <a:cxnSpLocks/>
          <a:stCxn id="7" idx="3"/>
          <a:endCxn id="3" idx="1"/>
          <a:extLst>
            <a:ext uri="{5F17804C-33F3-41E3-A699-7DCFA2EF7971}">
              <a16:cxnDERefs xmlns:a16="http://schemas.microsoft.com/office/drawing/2014/main" st="{4861F7BA-6578-2B84-B9AA-A681A5E32C68}" end="{373CA5FD-953C-2E34-9400-249FA098AAD1}"/>
            </a:ext>
          </a:extLst>
        </xdr:cNvCxnSpPr>
      </xdr:nvCxnSpPr>
      <xdr:spPr>
        <a:xfrm flipV="1">
          <a:off x="4067175" y="2547938"/>
          <a:ext cx="314325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1</xdr:row>
      <xdr:rowOff>57150</xdr:rowOff>
    </xdr:from>
    <xdr:to>
      <xdr:col>9</xdr:col>
      <xdr:colOff>861008</xdr:colOff>
      <xdr:row>6</xdr:row>
      <xdr:rowOff>44131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397134F8-AA4E-4539-A6B3-07564FF923EF}"/>
            </a:ext>
            <a:ext uri="{147F2762-F138-4A5C-976F-8EAC2B608ADB}">
              <a16:predDERef xmlns:a16="http://schemas.microsoft.com/office/drawing/2014/main" pred="{2F0A0BC2-58A0-CDD2-07C4-ACE23F9FDB91}"/>
            </a:ext>
          </a:extLst>
        </xdr:cNvPr>
        <xdr:cNvSpPr>
          <a:spLocks noChangeArrowheads="1"/>
        </xdr:cNvSpPr>
      </xdr:nvSpPr>
      <xdr:spPr bwMode="auto">
        <a:xfrm>
          <a:off x="4457700" y="247650"/>
          <a:ext cx="2346908" cy="939481"/>
        </a:xfrm>
        <a:prstGeom prst="leftArrow">
          <a:avLst>
            <a:gd name="adj1" fmla="val 50000"/>
            <a:gd name="adj2" fmla="val 68377"/>
          </a:avLst>
        </a:prstGeom>
        <a:solidFill>
          <a:srgbClr val="FFC000"/>
        </a:solidFill>
        <a:ln w="25400" algn="ctr">
          <a:solidFill>
            <a:srgbClr val="000000"/>
          </a:solidFill>
          <a:miter lim="800000"/>
          <a:headEnd/>
          <a:tailEnd/>
        </a:ln>
      </xdr:spPr>
      <xdr:txBody>
        <a:bodyPr wrap="square" lIns="36576" tIns="32004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INSERIRE LE NETWORK ASSEGNATE</a:t>
          </a:r>
        </a:p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(/29 e /28)</a:t>
          </a:r>
          <a:endParaRPr lang="it-IT" sz="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440589</xdr:colOff>
      <xdr:row>14</xdr:row>
      <xdr:rowOff>19326</xdr:rowOff>
    </xdr:from>
    <xdr:to>
      <xdr:col>8</xdr:col>
      <xdr:colOff>445880</xdr:colOff>
      <xdr:row>16</xdr:row>
      <xdr:rowOff>61660</xdr:rowOff>
    </xdr:to>
    <xdr:cxnSp macro="">
      <xdr:nvCxnSpPr>
        <xdr:cNvPr id="2" name="AutoShape 19">
          <a:extLst>
            <a:ext uri="{FF2B5EF4-FFF2-40B4-BE49-F238E27FC236}">
              <a16:creationId xmlns:a16="http://schemas.microsoft.com/office/drawing/2014/main" id="{8D352E71-841A-44C6-8D94-C984E3739FB4}"/>
            </a:ext>
          </a:extLst>
        </xdr:cNvPr>
        <xdr:cNvCxnSpPr>
          <a:cxnSpLocks noChangeShapeType="1"/>
        </xdr:cNvCxnSpPr>
      </xdr:nvCxnSpPr>
      <xdr:spPr bwMode="auto">
        <a:xfrm>
          <a:off x="8517789" y="2610126"/>
          <a:ext cx="5291" cy="4080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6</xdr:col>
      <xdr:colOff>349250</xdr:colOff>
      <xdr:row>16</xdr:row>
      <xdr:rowOff>9525</xdr:rowOff>
    </xdr:from>
    <xdr:to>
      <xdr:col>7</xdr:col>
      <xdr:colOff>318558</xdr:colOff>
      <xdr:row>17</xdr:row>
      <xdr:rowOff>169334</xdr:rowOff>
    </xdr:to>
    <xdr:grpSp>
      <xdr:nvGrpSpPr>
        <xdr:cNvPr id="3" name="Group 21">
          <a:extLst>
            <a:ext uri="{FF2B5EF4-FFF2-40B4-BE49-F238E27FC236}">
              <a16:creationId xmlns:a16="http://schemas.microsoft.com/office/drawing/2014/main" id="{0C8AD401-27B0-487D-8940-101B15DA0025}"/>
            </a:ext>
          </a:extLst>
        </xdr:cNvPr>
        <xdr:cNvGrpSpPr>
          <a:grpSpLocks/>
        </xdr:cNvGrpSpPr>
      </xdr:nvGrpSpPr>
      <xdr:grpSpPr bwMode="auto">
        <a:xfrm>
          <a:off x="5930900" y="2943225"/>
          <a:ext cx="483658" cy="340784"/>
          <a:chOff x="643" y="222"/>
          <a:chExt cx="36" cy="35"/>
        </a:xfrm>
      </xdr:grpSpPr>
      <xdr:sp macro="" textlink="">
        <xdr:nvSpPr>
          <xdr:cNvPr id="4" name="Oval 15">
            <a:extLst>
              <a:ext uri="{FF2B5EF4-FFF2-40B4-BE49-F238E27FC236}">
                <a16:creationId xmlns:a16="http://schemas.microsoft.com/office/drawing/2014/main" id="{578B5F28-2F14-8D2C-59E9-0E073C92985B}"/>
              </a:ext>
            </a:extLst>
          </xdr:cNvPr>
          <xdr:cNvSpPr>
            <a:spLocks noChangeArrowheads="1"/>
          </xdr:cNvSpPr>
        </xdr:nvSpPr>
        <xdr:spPr bwMode="auto">
          <a:xfrm>
            <a:off x="643" y="222"/>
            <a:ext cx="36" cy="3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16">
            <a:extLst>
              <a:ext uri="{FF2B5EF4-FFF2-40B4-BE49-F238E27FC236}">
                <a16:creationId xmlns:a16="http://schemas.microsoft.com/office/drawing/2014/main" id="{60AA37F8-6EC2-985C-D3AC-6229DB5136EF}"/>
              </a:ext>
            </a:extLst>
          </xdr:cNvPr>
          <xdr:cNvSpPr>
            <a:spLocks noChangeShapeType="1"/>
          </xdr:cNvSpPr>
        </xdr:nvSpPr>
        <xdr:spPr bwMode="auto">
          <a:xfrm flipH="1">
            <a:off x="647" y="226"/>
            <a:ext cx="26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Line 17">
            <a:extLst>
              <a:ext uri="{FF2B5EF4-FFF2-40B4-BE49-F238E27FC236}">
                <a16:creationId xmlns:a16="http://schemas.microsoft.com/office/drawing/2014/main" id="{BFBA19BF-DA2C-12A9-D054-57236C3DC50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49" y="227"/>
            <a:ext cx="26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318558</xdr:colOff>
      <xdr:row>16</xdr:row>
      <xdr:rowOff>180870</xdr:rowOff>
    </xdr:from>
    <xdr:to>
      <xdr:col>8</xdr:col>
      <xdr:colOff>60960</xdr:colOff>
      <xdr:row>17</xdr:row>
      <xdr:rowOff>15240</xdr:rowOff>
    </xdr:to>
    <xdr:cxnSp macro="">
      <xdr:nvCxnSpPr>
        <xdr:cNvPr id="7" name="AutoShape 19">
          <a:extLst>
            <a:ext uri="{FF2B5EF4-FFF2-40B4-BE49-F238E27FC236}">
              <a16:creationId xmlns:a16="http://schemas.microsoft.com/office/drawing/2014/main" id="{3D6F9F41-75E5-4585-BF48-67C306167751}"/>
            </a:ext>
          </a:extLst>
        </xdr:cNvPr>
        <xdr:cNvCxnSpPr>
          <a:cxnSpLocks noChangeShapeType="1"/>
          <a:stCxn id="4" idx="6"/>
        </xdr:cNvCxnSpPr>
      </xdr:nvCxnSpPr>
      <xdr:spPr bwMode="auto">
        <a:xfrm>
          <a:off x="6406938" y="3137430"/>
          <a:ext cx="1731222" cy="172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8</xdr:col>
      <xdr:colOff>1051561</xdr:colOff>
      <xdr:row>11</xdr:row>
      <xdr:rowOff>10583</xdr:rowOff>
    </xdr:from>
    <xdr:to>
      <xdr:col>10</xdr:col>
      <xdr:colOff>99393</xdr:colOff>
      <xdr:row>12</xdr:row>
      <xdr:rowOff>179917</xdr:rowOff>
    </xdr:to>
    <xdr:grpSp>
      <xdr:nvGrpSpPr>
        <xdr:cNvPr id="8" name="Group 26">
          <a:extLst>
            <a:ext uri="{FF2B5EF4-FFF2-40B4-BE49-F238E27FC236}">
              <a16:creationId xmlns:a16="http://schemas.microsoft.com/office/drawing/2014/main" id="{A4179255-1FB4-4674-B519-9764B500D883}"/>
            </a:ext>
          </a:extLst>
        </xdr:cNvPr>
        <xdr:cNvGrpSpPr>
          <a:grpSpLocks/>
        </xdr:cNvGrpSpPr>
      </xdr:nvGrpSpPr>
      <xdr:grpSpPr bwMode="auto">
        <a:xfrm>
          <a:off x="9138286" y="2039408"/>
          <a:ext cx="1648157" cy="350309"/>
          <a:chOff x="863" y="85"/>
          <a:chExt cx="62" cy="9"/>
        </a:xfrm>
      </xdr:grpSpPr>
      <xdr:sp macro="" textlink="">
        <xdr:nvSpPr>
          <xdr:cNvPr id="9" name="Line 23">
            <a:extLst>
              <a:ext uri="{FF2B5EF4-FFF2-40B4-BE49-F238E27FC236}">
                <a16:creationId xmlns:a16="http://schemas.microsoft.com/office/drawing/2014/main" id="{C9EEB7C2-E1B4-0E65-0458-FE6B4718A21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3" y="85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24">
            <a:extLst>
              <a:ext uri="{FF2B5EF4-FFF2-40B4-BE49-F238E27FC236}">
                <a16:creationId xmlns:a16="http://schemas.microsoft.com/office/drawing/2014/main" id="{A1F900B6-AD83-D993-BB28-D9F6254356D7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94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Line 25">
            <a:extLst>
              <a:ext uri="{FF2B5EF4-FFF2-40B4-BE49-F238E27FC236}">
                <a16:creationId xmlns:a16="http://schemas.microsoft.com/office/drawing/2014/main" id="{14F37176-7CEE-AD3E-43EF-6EEB404AF027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86"/>
            <a:ext cx="1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112395</xdr:colOff>
      <xdr:row>2</xdr:row>
      <xdr:rowOff>127848</xdr:rowOff>
    </xdr:from>
    <xdr:to>
      <xdr:col>8</xdr:col>
      <xdr:colOff>455083</xdr:colOff>
      <xdr:row>7</xdr:row>
      <xdr:rowOff>148167</xdr:rowOff>
    </xdr:to>
    <xdr:sp macro="" textlink="">
      <xdr:nvSpPr>
        <xdr:cNvPr id="12" name="Freccia a sinistra 1">
          <a:extLst>
            <a:ext uri="{FF2B5EF4-FFF2-40B4-BE49-F238E27FC236}">
              <a16:creationId xmlns:a16="http://schemas.microsoft.com/office/drawing/2014/main" id="{0DD56D5D-1403-400E-9F32-8A6F155A7627}"/>
            </a:ext>
          </a:extLst>
        </xdr:cNvPr>
        <xdr:cNvSpPr>
          <a:spLocks noChangeArrowheads="1"/>
        </xdr:cNvSpPr>
      </xdr:nvSpPr>
      <xdr:spPr bwMode="auto">
        <a:xfrm>
          <a:off x="5682615" y="493608"/>
          <a:ext cx="2849668" cy="965199"/>
        </a:xfrm>
        <a:prstGeom prst="leftArrow">
          <a:avLst>
            <a:gd name="adj1" fmla="val 50000"/>
            <a:gd name="adj2" fmla="val 68377"/>
          </a:avLst>
        </a:prstGeom>
        <a:solidFill>
          <a:srgbClr val="FFC000"/>
        </a:solidFill>
        <a:ln w="254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INSERIRE LE NETWORK ASSEGNATE </a:t>
          </a:r>
          <a:r>
            <a:rPr lang="it-IT" sz="900" b="0" i="0" u="none" strike="noStrike" baseline="0">
              <a:solidFill>
                <a:srgbClr val="000000"/>
              </a:solidFill>
              <a:latin typeface="Calibri"/>
              <a:cs typeface="Calibri"/>
            </a:rPr>
            <a:t>(/</a:t>
          </a:r>
          <a:r>
            <a:rPr lang="it-IT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29 e /28)</a:t>
          </a:r>
          <a:endParaRPr lang="it-IT" sz="800"/>
        </a:p>
      </xdr:txBody>
    </xdr:sp>
    <xdr:clientData/>
  </xdr:twoCellAnchor>
  <xdr:twoCellAnchor>
    <xdr:from>
      <xdr:col>8</xdr:col>
      <xdr:colOff>82128</xdr:colOff>
      <xdr:row>16</xdr:row>
      <xdr:rowOff>33444</xdr:rowOff>
    </xdr:from>
    <xdr:to>
      <xdr:col>8</xdr:col>
      <xdr:colOff>1120140</xdr:colOff>
      <xdr:row>20</xdr:row>
      <xdr:rowOff>152400</xdr:rowOff>
    </xdr:to>
    <xdr:sp macro="" textlink="">
      <xdr:nvSpPr>
        <xdr:cNvPr id="13" name="Rectangle 10">
          <a:extLst>
            <a:ext uri="{FF2B5EF4-FFF2-40B4-BE49-F238E27FC236}">
              <a16:creationId xmlns:a16="http://schemas.microsoft.com/office/drawing/2014/main" id="{2CA81475-7642-4F33-B8E2-696E26C33C02}"/>
            </a:ext>
          </a:extLst>
        </xdr:cNvPr>
        <xdr:cNvSpPr>
          <a:spLocks noChangeArrowheads="1"/>
        </xdr:cNvSpPr>
      </xdr:nvSpPr>
      <xdr:spPr bwMode="auto">
        <a:xfrm>
          <a:off x="8159328" y="2990004"/>
          <a:ext cx="1038012" cy="8504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LOCALE</a:t>
          </a:r>
        </a:p>
      </xdr:txBody>
    </xdr:sp>
    <xdr:clientData/>
  </xdr:twoCellAnchor>
  <xdr:twoCellAnchor>
    <xdr:from>
      <xdr:col>8</xdr:col>
      <xdr:colOff>66261</xdr:colOff>
      <xdr:row>12</xdr:row>
      <xdr:rowOff>2</xdr:rowOff>
    </xdr:from>
    <xdr:to>
      <xdr:col>8</xdr:col>
      <xdr:colOff>923511</xdr:colOff>
      <xdr:row>14</xdr:row>
      <xdr:rowOff>74544</xdr:rowOff>
    </xdr:to>
    <xdr:sp macro="" textlink="">
      <xdr:nvSpPr>
        <xdr:cNvPr id="14" name="Rectangle 10">
          <a:extLst>
            <a:ext uri="{FF2B5EF4-FFF2-40B4-BE49-F238E27FC236}">
              <a16:creationId xmlns:a16="http://schemas.microsoft.com/office/drawing/2014/main" id="{A8EBEEA5-DB2B-4196-8D68-BF42608DD81A}"/>
            </a:ext>
          </a:extLst>
        </xdr:cNvPr>
        <xdr:cNvSpPr>
          <a:spLocks noChangeArrowheads="1"/>
        </xdr:cNvSpPr>
      </xdr:nvSpPr>
      <xdr:spPr bwMode="auto">
        <a:xfrm>
          <a:off x="8143461" y="2225042"/>
          <a:ext cx="857250" cy="44030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V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LOCALE</a:t>
          </a:r>
        </a:p>
      </xdr:txBody>
    </xdr:sp>
    <xdr:clientData/>
  </xdr:twoCellAnchor>
  <xdr:twoCellAnchor>
    <xdr:from>
      <xdr:col>8</xdr:col>
      <xdr:colOff>1097281</xdr:colOff>
      <xdr:row>17</xdr:row>
      <xdr:rowOff>0</xdr:rowOff>
    </xdr:from>
    <xdr:to>
      <xdr:col>10</xdr:col>
      <xdr:colOff>31751</xdr:colOff>
      <xdr:row>18</xdr:row>
      <xdr:rowOff>169334</xdr:rowOff>
    </xdr:to>
    <xdr:grpSp>
      <xdr:nvGrpSpPr>
        <xdr:cNvPr id="15" name="Group 26">
          <a:extLst>
            <a:ext uri="{FF2B5EF4-FFF2-40B4-BE49-F238E27FC236}">
              <a16:creationId xmlns:a16="http://schemas.microsoft.com/office/drawing/2014/main" id="{7C97C391-F46D-4AE7-8AEF-77987C98673D}"/>
            </a:ext>
          </a:extLst>
        </xdr:cNvPr>
        <xdr:cNvGrpSpPr>
          <a:grpSpLocks/>
        </xdr:cNvGrpSpPr>
      </xdr:nvGrpSpPr>
      <xdr:grpSpPr bwMode="auto">
        <a:xfrm>
          <a:off x="9184006" y="3114675"/>
          <a:ext cx="1534795" cy="350309"/>
          <a:chOff x="863" y="85"/>
          <a:chExt cx="62" cy="9"/>
        </a:xfrm>
      </xdr:grpSpPr>
      <xdr:sp macro="" textlink="">
        <xdr:nvSpPr>
          <xdr:cNvPr id="16" name="Line 23">
            <a:extLst>
              <a:ext uri="{FF2B5EF4-FFF2-40B4-BE49-F238E27FC236}">
                <a16:creationId xmlns:a16="http://schemas.microsoft.com/office/drawing/2014/main" id="{18812B1A-5B71-3F5F-BCDC-67565B8060E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3" y="85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Line 24">
            <a:extLst>
              <a:ext uri="{FF2B5EF4-FFF2-40B4-BE49-F238E27FC236}">
                <a16:creationId xmlns:a16="http://schemas.microsoft.com/office/drawing/2014/main" id="{EB78A61B-1FE4-D65D-6A57-89005159B60E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94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Line 25">
            <a:extLst>
              <a:ext uri="{FF2B5EF4-FFF2-40B4-BE49-F238E27FC236}">
                <a16:creationId xmlns:a16="http://schemas.microsoft.com/office/drawing/2014/main" id="{065FAC9F-0891-C2A0-C1B6-49A937C052A6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86"/>
            <a:ext cx="1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439209</xdr:colOff>
      <xdr:row>14</xdr:row>
      <xdr:rowOff>84666</xdr:rowOff>
    </xdr:from>
    <xdr:to>
      <xdr:col>10</xdr:col>
      <xdr:colOff>444500</xdr:colOff>
      <xdr:row>16</xdr:row>
      <xdr:rowOff>127000</xdr:rowOff>
    </xdr:to>
    <xdr:cxnSp macro="">
      <xdr:nvCxnSpPr>
        <xdr:cNvPr id="20" name="AutoShape 19">
          <a:extLst>
            <a:ext uri="{FF2B5EF4-FFF2-40B4-BE49-F238E27FC236}">
              <a16:creationId xmlns:a16="http://schemas.microsoft.com/office/drawing/2014/main" id="{87FBD21B-407C-45EC-8AB5-C09DA15A137F}"/>
            </a:ext>
          </a:extLst>
        </xdr:cNvPr>
        <xdr:cNvCxnSpPr>
          <a:cxnSpLocks noChangeShapeType="1"/>
        </xdr:cNvCxnSpPr>
      </xdr:nvCxnSpPr>
      <xdr:spPr bwMode="auto">
        <a:xfrm>
          <a:off x="11122449" y="2675466"/>
          <a:ext cx="5291" cy="4080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9</xdr:col>
      <xdr:colOff>105833</xdr:colOff>
      <xdr:row>10</xdr:row>
      <xdr:rowOff>0</xdr:rowOff>
    </xdr:from>
    <xdr:to>
      <xdr:col>9</xdr:col>
      <xdr:colOff>455083</xdr:colOff>
      <xdr:row>20</xdr:row>
      <xdr:rowOff>169333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2D3BE52-7BCD-4F6B-85E8-3512405F6928}"/>
            </a:ext>
          </a:extLst>
        </xdr:cNvPr>
        <xdr:cNvSpPr/>
      </xdr:nvSpPr>
      <xdr:spPr>
        <a:xfrm>
          <a:off x="9615593" y="1859280"/>
          <a:ext cx="349250" cy="199813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11965</xdr:colOff>
      <xdr:row>12</xdr:row>
      <xdr:rowOff>24849</xdr:rowOff>
    </xdr:from>
    <xdr:to>
      <xdr:col>10</xdr:col>
      <xdr:colOff>869215</xdr:colOff>
      <xdr:row>14</xdr:row>
      <xdr:rowOff>113197</xdr:rowOff>
    </xdr:to>
    <xdr:sp macro="" textlink="">
      <xdr:nvSpPr>
        <xdr:cNvPr id="22" name="Rectangle 10">
          <a:extLst>
            <a:ext uri="{FF2B5EF4-FFF2-40B4-BE49-F238E27FC236}">
              <a16:creationId xmlns:a16="http://schemas.microsoft.com/office/drawing/2014/main" id="{34EB7BAB-179F-4311-A778-3E571524ECCD}"/>
            </a:ext>
          </a:extLst>
        </xdr:cNvPr>
        <xdr:cNvSpPr>
          <a:spLocks noChangeArrowheads="1"/>
        </xdr:cNvSpPr>
      </xdr:nvSpPr>
      <xdr:spPr bwMode="auto">
        <a:xfrm>
          <a:off x="10695205" y="2249889"/>
          <a:ext cx="857250" cy="45410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V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REMOTO</a:t>
          </a:r>
        </a:p>
      </xdr:txBody>
    </xdr:sp>
    <xdr:clientData/>
  </xdr:twoCellAnchor>
  <xdr:twoCellAnchor>
    <xdr:from>
      <xdr:col>8</xdr:col>
      <xdr:colOff>49696</xdr:colOff>
      <xdr:row>8</xdr:row>
      <xdr:rowOff>160682</xdr:rowOff>
    </xdr:from>
    <xdr:to>
      <xdr:col>8</xdr:col>
      <xdr:colOff>906946</xdr:colOff>
      <xdr:row>11</xdr:row>
      <xdr:rowOff>82826</xdr:rowOff>
    </xdr:to>
    <xdr:sp macro="" textlink="">
      <xdr:nvSpPr>
        <xdr:cNvPr id="23" name="Rectangle 10">
          <a:extLst>
            <a:ext uri="{FF2B5EF4-FFF2-40B4-BE49-F238E27FC236}">
              <a16:creationId xmlns:a16="http://schemas.microsoft.com/office/drawing/2014/main" id="{D4058D78-C02D-4269-8E17-C285DC9C9FD1}"/>
            </a:ext>
          </a:extLst>
        </xdr:cNvPr>
        <xdr:cNvSpPr>
          <a:spLocks noChangeArrowheads="1"/>
        </xdr:cNvSpPr>
      </xdr:nvSpPr>
      <xdr:spPr bwMode="auto">
        <a:xfrm>
          <a:off x="8126896" y="1654202"/>
          <a:ext cx="857250" cy="47078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H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LOCALE</a:t>
          </a:r>
        </a:p>
      </xdr:txBody>
    </xdr:sp>
    <xdr:clientData/>
  </xdr:twoCellAnchor>
  <xdr:twoCellAnchor>
    <xdr:from>
      <xdr:col>9</xdr:col>
      <xdr:colOff>1171160</xdr:colOff>
      <xdr:row>8</xdr:row>
      <xdr:rowOff>147432</xdr:rowOff>
    </xdr:from>
    <xdr:to>
      <xdr:col>10</xdr:col>
      <xdr:colOff>885410</xdr:colOff>
      <xdr:row>11</xdr:row>
      <xdr:rowOff>69576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A713C572-9374-4670-9F1F-638CBB3D2748}"/>
            </a:ext>
          </a:extLst>
        </xdr:cNvPr>
        <xdr:cNvSpPr>
          <a:spLocks noChangeArrowheads="1"/>
        </xdr:cNvSpPr>
      </xdr:nvSpPr>
      <xdr:spPr bwMode="auto">
        <a:xfrm>
          <a:off x="10680920" y="1640952"/>
          <a:ext cx="887730" cy="47078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H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REMOTO</a:t>
          </a:r>
        </a:p>
      </xdr:txBody>
    </xdr:sp>
    <xdr:clientData/>
  </xdr:twoCellAnchor>
  <xdr:twoCellAnchor>
    <xdr:from>
      <xdr:col>9</xdr:col>
      <xdr:colOff>1165860</xdr:colOff>
      <xdr:row>16</xdr:row>
      <xdr:rowOff>38100</xdr:rowOff>
    </xdr:from>
    <xdr:to>
      <xdr:col>10</xdr:col>
      <xdr:colOff>998220</xdr:colOff>
      <xdr:row>20</xdr:row>
      <xdr:rowOff>127000</xdr:rowOff>
    </xdr:to>
    <xdr:sp macro="" textlink="">
      <xdr:nvSpPr>
        <xdr:cNvPr id="19" name="Rectangle 10">
          <a:extLst>
            <a:ext uri="{FF2B5EF4-FFF2-40B4-BE49-F238E27FC236}">
              <a16:creationId xmlns:a16="http://schemas.microsoft.com/office/drawing/2014/main" id="{6E20702B-5915-4828-A2CD-982A63B467D6}"/>
            </a:ext>
          </a:extLst>
        </xdr:cNvPr>
        <xdr:cNvSpPr>
          <a:spLocks noChangeArrowheads="1"/>
        </xdr:cNvSpPr>
      </xdr:nvSpPr>
      <xdr:spPr bwMode="auto">
        <a:xfrm>
          <a:off x="10675620" y="2994660"/>
          <a:ext cx="1005840" cy="8204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indent="0"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  <a:ea typeface="+mn-ea"/>
              <a:cs typeface="+mn-cs"/>
            </a:rPr>
            <a:t>REMOTO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440589</xdr:colOff>
      <xdr:row>14</xdr:row>
      <xdr:rowOff>19326</xdr:rowOff>
    </xdr:from>
    <xdr:to>
      <xdr:col>8</xdr:col>
      <xdr:colOff>445880</xdr:colOff>
      <xdr:row>16</xdr:row>
      <xdr:rowOff>61660</xdr:rowOff>
    </xdr:to>
    <xdr:cxnSp macro="">
      <xdr:nvCxnSpPr>
        <xdr:cNvPr id="2" name="AutoShape 19">
          <a:extLst>
            <a:ext uri="{FF2B5EF4-FFF2-40B4-BE49-F238E27FC236}">
              <a16:creationId xmlns:a16="http://schemas.microsoft.com/office/drawing/2014/main" id="{24331CEC-A4C2-4277-9E85-D77EBB2E28EB}"/>
            </a:ext>
          </a:extLst>
        </xdr:cNvPr>
        <xdr:cNvCxnSpPr>
          <a:cxnSpLocks noChangeShapeType="1"/>
        </xdr:cNvCxnSpPr>
      </xdr:nvCxnSpPr>
      <xdr:spPr bwMode="auto">
        <a:xfrm>
          <a:off x="8662569" y="2610126"/>
          <a:ext cx="5291" cy="4080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6</xdr:col>
      <xdr:colOff>349250</xdr:colOff>
      <xdr:row>16</xdr:row>
      <xdr:rowOff>9525</xdr:rowOff>
    </xdr:from>
    <xdr:to>
      <xdr:col>7</xdr:col>
      <xdr:colOff>318558</xdr:colOff>
      <xdr:row>17</xdr:row>
      <xdr:rowOff>169334</xdr:rowOff>
    </xdr:to>
    <xdr:grpSp>
      <xdr:nvGrpSpPr>
        <xdr:cNvPr id="3" name="Group 21">
          <a:extLst>
            <a:ext uri="{FF2B5EF4-FFF2-40B4-BE49-F238E27FC236}">
              <a16:creationId xmlns:a16="http://schemas.microsoft.com/office/drawing/2014/main" id="{9E8A6985-F50E-4349-9F61-29B089C3A232}"/>
            </a:ext>
          </a:extLst>
        </xdr:cNvPr>
        <xdr:cNvGrpSpPr>
          <a:grpSpLocks/>
        </xdr:cNvGrpSpPr>
      </xdr:nvGrpSpPr>
      <xdr:grpSpPr bwMode="auto">
        <a:xfrm>
          <a:off x="6064250" y="2966085"/>
          <a:ext cx="487468" cy="342689"/>
          <a:chOff x="643" y="222"/>
          <a:chExt cx="36" cy="35"/>
        </a:xfrm>
      </xdr:grpSpPr>
      <xdr:sp macro="" textlink="">
        <xdr:nvSpPr>
          <xdr:cNvPr id="4" name="Oval 15">
            <a:extLst>
              <a:ext uri="{FF2B5EF4-FFF2-40B4-BE49-F238E27FC236}">
                <a16:creationId xmlns:a16="http://schemas.microsoft.com/office/drawing/2014/main" id="{8661D1C0-72DE-8574-4641-B157B8D68304}"/>
              </a:ext>
            </a:extLst>
          </xdr:cNvPr>
          <xdr:cNvSpPr>
            <a:spLocks noChangeArrowheads="1"/>
          </xdr:cNvSpPr>
        </xdr:nvSpPr>
        <xdr:spPr bwMode="auto">
          <a:xfrm>
            <a:off x="643" y="222"/>
            <a:ext cx="36" cy="3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16">
            <a:extLst>
              <a:ext uri="{FF2B5EF4-FFF2-40B4-BE49-F238E27FC236}">
                <a16:creationId xmlns:a16="http://schemas.microsoft.com/office/drawing/2014/main" id="{FA581C87-0ACB-885A-DDF7-749FF23499F8}"/>
              </a:ext>
            </a:extLst>
          </xdr:cNvPr>
          <xdr:cNvSpPr>
            <a:spLocks noChangeShapeType="1"/>
          </xdr:cNvSpPr>
        </xdr:nvSpPr>
        <xdr:spPr bwMode="auto">
          <a:xfrm flipH="1">
            <a:off x="647" y="226"/>
            <a:ext cx="26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Line 17">
            <a:extLst>
              <a:ext uri="{FF2B5EF4-FFF2-40B4-BE49-F238E27FC236}">
                <a16:creationId xmlns:a16="http://schemas.microsoft.com/office/drawing/2014/main" id="{FDE5B5D4-5030-F4E7-2035-C7FA9DECD11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49" y="227"/>
            <a:ext cx="26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318558</xdr:colOff>
      <xdr:row>16</xdr:row>
      <xdr:rowOff>184680</xdr:rowOff>
    </xdr:from>
    <xdr:to>
      <xdr:col>8</xdr:col>
      <xdr:colOff>0</xdr:colOff>
      <xdr:row>17</xdr:row>
      <xdr:rowOff>10584</xdr:rowOff>
    </xdr:to>
    <xdr:cxnSp macro="">
      <xdr:nvCxnSpPr>
        <xdr:cNvPr id="7" name="AutoShape 19">
          <a:extLst>
            <a:ext uri="{FF2B5EF4-FFF2-40B4-BE49-F238E27FC236}">
              <a16:creationId xmlns:a16="http://schemas.microsoft.com/office/drawing/2014/main" id="{D6C64EB7-E818-4837-8759-03BE45718343}"/>
            </a:ext>
          </a:extLst>
        </xdr:cNvPr>
        <xdr:cNvCxnSpPr>
          <a:cxnSpLocks noChangeShapeType="1"/>
          <a:stCxn id="4" idx="6"/>
        </xdr:cNvCxnSpPr>
      </xdr:nvCxnSpPr>
      <xdr:spPr bwMode="auto">
        <a:xfrm>
          <a:off x="6551718" y="3141240"/>
          <a:ext cx="1670262" cy="878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9</xdr:col>
      <xdr:colOff>1179</xdr:colOff>
      <xdr:row>11</xdr:row>
      <xdr:rowOff>10583</xdr:rowOff>
    </xdr:from>
    <xdr:to>
      <xdr:col>10</xdr:col>
      <xdr:colOff>99392</xdr:colOff>
      <xdr:row>12</xdr:row>
      <xdr:rowOff>179917</xdr:rowOff>
    </xdr:to>
    <xdr:grpSp>
      <xdr:nvGrpSpPr>
        <xdr:cNvPr id="8" name="Group 26">
          <a:extLst>
            <a:ext uri="{FF2B5EF4-FFF2-40B4-BE49-F238E27FC236}">
              <a16:creationId xmlns:a16="http://schemas.microsoft.com/office/drawing/2014/main" id="{F7C2C27C-0ECE-4ECA-929B-CE57C6844D68}"/>
            </a:ext>
          </a:extLst>
        </xdr:cNvPr>
        <xdr:cNvGrpSpPr>
          <a:grpSpLocks/>
        </xdr:cNvGrpSpPr>
      </xdr:nvGrpSpPr>
      <xdr:grpSpPr bwMode="auto">
        <a:xfrm>
          <a:off x="9655719" y="2052743"/>
          <a:ext cx="1271693" cy="352214"/>
          <a:chOff x="863" y="85"/>
          <a:chExt cx="62" cy="9"/>
        </a:xfrm>
      </xdr:grpSpPr>
      <xdr:sp macro="" textlink="">
        <xdr:nvSpPr>
          <xdr:cNvPr id="9" name="Line 23">
            <a:extLst>
              <a:ext uri="{FF2B5EF4-FFF2-40B4-BE49-F238E27FC236}">
                <a16:creationId xmlns:a16="http://schemas.microsoft.com/office/drawing/2014/main" id="{CD877713-EE19-A3C8-FFB8-30D04B4CA5E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3" y="85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24">
            <a:extLst>
              <a:ext uri="{FF2B5EF4-FFF2-40B4-BE49-F238E27FC236}">
                <a16:creationId xmlns:a16="http://schemas.microsoft.com/office/drawing/2014/main" id="{EAF08EC6-301A-5905-056D-4428097EB032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94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Line 25">
            <a:extLst>
              <a:ext uri="{FF2B5EF4-FFF2-40B4-BE49-F238E27FC236}">
                <a16:creationId xmlns:a16="http://schemas.microsoft.com/office/drawing/2014/main" id="{15FD1568-514C-F23B-D732-AD964EBF2AB0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86"/>
            <a:ext cx="1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112395</xdr:colOff>
      <xdr:row>2</xdr:row>
      <xdr:rowOff>127848</xdr:rowOff>
    </xdr:from>
    <xdr:to>
      <xdr:col>8</xdr:col>
      <xdr:colOff>455083</xdr:colOff>
      <xdr:row>7</xdr:row>
      <xdr:rowOff>148167</xdr:rowOff>
    </xdr:to>
    <xdr:sp macro="" textlink="">
      <xdr:nvSpPr>
        <xdr:cNvPr id="12" name="Freccia a sinistra 1">
          <a:extLst>
            <a:ext uri="{FF2B5EF4-FFF2-40B4-BE49-F238E27FC236}">
              <a16:creationId xmlns:a16="http://schemas.microsoft.com/office/drawing/2014/main" id="{CECF7803-8F50-4B1B-B096-EBF861D94318}"/>
            </a:ext>
          </a:extLst>
        </xdr:cNvPr>
        <xdr:cNvSpPr>
          <a:spLocks noChangeArrowheads="1"/>
        </xdr:cNvSpPr>
      </xdr:nvSpPr>
      <xdr:spPr bwMode="auto">
        <a:xfrm>
          <a:off x="5827395" y="493608"/>
          <a:ext cx="2849668" cy="965199"/>
        </a:xfrm>
        <a:prstGeom prst="leftArrow">
          <a:avLst>
            <a:gd name="adj1" fmla="val 50000"/>
            <a:gd name="adj2" fmla="val 68377"/>
          </a:avLst>
        </a:prstGeom>
        <a:solidFill>
          <a:srgbClr val="FFC000"/>
        </a:solidFill>
        <a:ln w="254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INSERIRE LE NETWORK ASSEGNATE </a:t>
          </a:r>
          <a:r>
            <a:rPr lang="it-IT" sz="900" b="0" i="0" u="none" strike="noStrike" baseline="0">
              <a:solidFill>
                <a:srgbClr val="000000"/>
              </a:solidFill>
              <a:latin typeface="Calibri"/>
              <a:cs typeface="Calibri"/>
            </a:rPr>
            <a:t>(/</a:t>
          </a:r>
          <a:r>
            <a:rPr lang="it-IT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29 e /28)</a:t>
          </a:r>
          <a:endParaRPr lang="it-IT" sz="800"/>
        </a:p>
      </xdr:txBody>
    </xdr:sp>
    <xdr:clientData/>
  </xdr:twoCellAnchor>
  <xdr:twoCellAnchor>
    <xdr:from>
      <xdr:col>7</xdr:col>
      <xdr:colOff>1926168</xdr:colOff>
      <xdr:row>16</xdr:row>
      <xdr:rowOff>10584</xdr:rowOff>
    </xdr:from>
    <xdr:to>
      <xdr:col>8</xdr:col>
      <xdr:colOff>846668</xdr:colOff>
      <xdr:row>20</xdr:row>
      <xdr:rowOff>10584</xdr:rowOff>
    </xdr:to>
    <xdr:sp macro="" textlink="">
      <xdr:nvSpPr>
        <xdr:cNvPr id="13" name="Rectangle 10">
          <a:extLst>
            <a:ext uri="{FF2B5EF4-FFF2-40B4-BE49-F238E27FC236}">
              <a16:creationId xmlns:a16="http://schemas.microsoft.com/office/drawing/2014/main" id="{73F36ACF-9C7A-4842-952A-926FA7824298}"/>
            </a:ext>
          </a:extLst>
        </xdr:cNvPr>
        <xdr:cNvSpPr>
          <a:spLocks noChangeArrowheads="1"/>
        </xdr:cNvSpPr>
      </xdr:nvSpPr>
      <xdr:spPr bwMode="auto">
        <a:xfrm>
          <a:off x="8159328" y="2967144"/>
          <a:ext cx="909320" cy="731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IDU LOCALE</a:t>
          </a:r>
        </a:p>
      </xdr:txBody>
    </xdr:sp>
    <xdr:clientData/>
  </xdr:twoCellAnchor>
  <xdr:twoCellAnchor>
    <xdr:from>
      <xdr:col>8</xdr:col>
      <xdr:colOff>66261</xdr:colOff>
      <xdr:row>12</xdr:row>
      <xdr:rowOff>2</xdr:rowOff>
    </xdr:from>
    <xdr:to>
      <xdr:col>8</xdr:col>
      <xdr:colOff>923511</xdr:colOff>
      <xdr:row>14</xdr:row>
      <xdr:rowOff>74544</xdr:rowOff>
    </xdr:to>
    <xdr:sp macro="" textlink="">
      <xdr:nvSpPr>
        <xdr:cNvPr id="14" name="Rectangle 10">
          <a:extLst>
            <a:ext uri="{FF2B5EF4-FFF2-40B4-BE49-F238E27FC236}">
              <a16:creationId xmlns:a16="http://schemas.microsoft.com/office/drawing/2014/main" id="{47401A3C-2E92-41EC-8DD6-8C8A92E40BD6}"/>
            </a:ext>
          </a:extLst>
        </xdr:cNvPr>
        <xdr:cNvSpPr>
          <a:spLocks noChangeArrowheads="1"/>
        </xdr:cNvSpPr>
      </xdr:nvSpPr>
      <xdr:spPr bwMode="auto">
        <a:xfrm>
          <a:off x="8288241" y="2225042"/>
          <a:ext cx="857250" cy="44030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V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LOCALE</a:t>
          </a:r>
        </a:p>
      </xdr:txBody>
    </xdr:sp>
    <xdr:clientData/>
  </xdr:twoCellAnchor>
  <xdr:twoCellAnchor>
    <xdr:from>
      <xdr:col>9</xdr:col>
      <xdr:colOff>2117</xdr:colOff>
      <xdr:row>17</xdr:row>
      <xdr:rowOff>0</xdr:rowOff>
    </xdr:from>
    <xdr:to>
      <xdr:col>10</xdr:col>
      <xdr:colOff>31750</xdr:colOff>
      <xdr:row>18</xdr:row>
      <xdr:rowOff>169334</xdr:rowOff>
    </xdr:to>
    <xdr:grpSp>
      <xdr:nvGrpSpPr>
        <xdr:cNvPr id="15" name="Group 26">
          <a:extLst>
            <a:ext uri="{FF2B5EF4-FFF2-40B4-BE49-F238E27FC236}">
              <a16:creationId xmlns:a16="http://schemas.microsoft.com/office/drawing/2014/main" id="{1A0C595E-83D9-44A6-BE41-05932AE06721}"/>
            </a:ext>
          </a:extLst>
        </xdr:cNvPr>
        <xdr:cNvGrpSpPr>
          <a:grpSpLocks/>
        </xdr:cNvGrpSpPr>
      </xdr:nvGrpSpPr>
      <xdr:grpSpPr bwMode="auto">
        <a:xfrm>
          <a:off x="9656657" y="3139440"/>
          <a:ext cx="1203113" cy="352214"/>
          <a:chOff x="863" y="85"/>
          <a:chExt cx="62" cy="9"/>
        </a:xfrm>
      </xdr:grpSpPr>
      <xdr:sp macro="" textlink="">
        <xdr:nvSpPr>
          <xdr:cNvPr id="16" name="Line 23">
            <a:extLst>
              <a:ext uri="{FF2B5EF4-FFF2-40B4-BE49-F238E27FC236}">
                <a16:creationId xmlns:a16="http://schemas.microsoft.com/office/drawing/2014/main" id="{274EDC82-0079-ECE0-12CB-68C4B6F13FF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3" y="85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Line 24">
            <a:extLst>
              <a:ext uri="{FF2B5EF4-FFF2-40B4-BE49-F238E27FC236}">
                <a16:creationId xmlns:a16="http://schemas.microsoft.com/office/drawing/2014/main" id="{AF95EB9E-5319-6917-0E99-93DF714FB0DE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94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Line 25">
            <a:extLst>
              <a:ext uri="{FF2B5EF4-FFF2-40B4-BE49-F238E27FC236}">
                <a16:creationId xmlns:a16="http://schemas.microsoft.com/office/drawing/2014/main" id="{83155EC0-46A5-BBB7-2793-058E595D9F1C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86"/>
            <a:ext cx="1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52917</xdr:colOff>
      <xdr:row>16</xdr:row>
      <xdr:rowOff>127000</xdr:rowOff>
    </xdr:from>
    <xdr:to>
      <xdr:col>10</xdr:col>
      <xdr:colOff>910167</xdr:colOff>
      <xdr:row>20</xdr:row>
      <xdr:rowOff>127000</xdr:rowOff>
    </xdr:to>
    <xdr:sp macro="" textlink="">
      <xdr:nvSpPr>
        <xdr:cNvPr id="19" name="Rectangle 10">
          <a:extLst>
            <a:ext uri="{FF2B5EF4-FFF2-40B4-BE49-F238E27FC236}">
              <a16:creationId xmlns:a16="http://schemas.microsoft.com/office/drawing/2014/main" id="{3D6E92CE-813D-4847-B95C-0A12C720C19F}"/>
            </a:ext>
          </a:extLst>
        </xdr:cNvPr>
        <xdr:cNvSpPr>
          <a:spLocks noChangeArrowheads="1"/>
        </xdr:cNvSpPr>
      </xdr:nvSpPr>
      <xdr:spPr bwMode="auto">
        <a:xfrm>
          <a:off x="10880937" y="3083560"/>
          <a:ext cx="857250" cy="731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indent="0"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  <a:ea typeface="+mn-ea"/>
              <a:cs typeface="+mn-cs"/>
            </a:rPr>
            <a:t>IDU REMOTO</a:t>
          </a:r>
        </a:p>
      </xdr:txBody>
    </xdr:sp>
    <xdr:clientData/>
  </xdr:twoCellAnchor>
  <xdr:twoCellAnchor>
    <xdr:from>
      <xdr:col>10</xdr:col>
      <xdr:colOff>439209</xdr:colOff>
      <xdr:row>14</xdr:row>
      <xdr:rowOff>84666</xdr:rowOff>
    </xdr:from>
    <xdr:to>
      <xdr:col>10</xdr:col>
      <xdr:colOff>444500</xdr:colOff>
      <xdr:row>16</xdr:row>
      <xdr:rowOff>127000</xdr:rowOff>
    </xdr:to>
    <xdr:cxnSp macro="">
      <xdr:nvCxnSpPr>
        <xdr:cNvPr id="20" name="AutoShape 19">
          <a:extLst>
            <a:ext uri="{FF2B5EF4-FFF2-40B4-BE49-F238E27FC236}">
              <a16:creationId xmlns:a16="http://schemas.microsoft.com/office/drawing/2014/main" id="{9458124A-5A0F-4CE4-94B6-374061C61D89}"/>
            </a:ext>
          </a:extLst>
        </xdr:cNvPr>
        <xdr:cNvCxnSpPr>
          <a:cxnSpLocks noChangeShapeType="1"/>
        </xdr:cNvCxnSpPr>
      </xdr:nvCxnSpPr>
      <xdr:spPr bwMode="auto">
        <a:xfrm>
          <a:off x="11267229" y="2675466"/>
          <a:ext cx="5291" cy="4080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9</xdr:col>
      <xdr:colOff>105833</xdr:colOff>
      <xdr:row>10</xdr:row>
      <xdr:rowOff>0</xdr:rowOff>
    </xdr:from>
    <xdr:to>
      <xdr:col>9</xdr:col>
      <xdr:colOff>455083</xdr:colOff>
      <xdr:row>20</xdr:row>
      <xdr:rowOff>169333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10974DC-4249-4C75-9C68-106D59B606E6}"/>
            </a:ext>
          </a:extLst>
        </xdr:cNvPr>
        <xdr:cNvSpPr/>
      </xdr:nvSpPr>
      <xdr:spPr>
        <a:xfrm>
          <a:off x="9760373" y="1859280"/>
          <a:ext cx="349250" cy="199813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</xdr:col>
      <xdr:colOff>11965</xdr:colOff>
      <xdr:row>12</xdr:row>
      <xdr:rowOff>24849</xdr:rowOff>
    </xdr:from>
    <xdr:to>
      <xdr:col>10</xdr:col>
      <xdr:colOff>869215</xdr:colOff>
      <xdr:row>14</xdr:row>
      <xdr:rowOff>113197</xdr:rowOff>
    </xdr:to>
    <xdr:sp macro="" textlink="">
      <xdr:nvSpPr>
        <xdr:cNvPr id="22" name="Rectangle 10">
          <a:extLst>
            <a:ext uri="{FF2B5EF4-FFF2-40B4-BE49-F238E27FC236}">
              <a16:creationId xmlns:a16="http://schemas.microsoft.com/office/drawing/2014/main" id="{0F1152A5-1FBF-48EF-9D24-99E69CE465DA}"/>
            </a:ext>
          </a:extLst>
        </xdr:cNvPr>
        <xdr:cNvSpPr>
          <a:spLocks noChangeArrowheads="1"/>
        </xdr:cNvSpPr>
      </xdr:nvSpPr>
      <xdr:spPr bwMode="auto">
        <a:xfrm>
          <a:off x="10839985" y="2249889"/>
          <a:ext cx="857250" cy="45410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V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REMOTO</a:t>
          </a:r>
        </a:p>
      </xdr:txBody>
    </xdr:sp>
    <xdr:clientData/>
  </xdr:twoCellAnchor>
  <xdr:twoCellAnchor>
    <xdr:from>
      <xdr:col>8</xdr:col>
      <xdr:colOff>49696</xdr:colOff>
      <xdr:row>8</xdr:row>
      <xdr:rowOff>160682</xdr:rowOff>
    </xdr:from>
    <xdr:to>
      <xdr:col>8</xdr:col>
      <xdr:colOff>906946</xdr:colOff>
      <xdr:row>11</xdr:row>
      <xdr:rowOff>82826</xdr:rowOff>
    </xdr:to>
    <xdr:sp macro="" textlink="">
      <xdr:nvSpPr>
        <xdr:cNvPr id="23" name="Rectangle 10">
          <a:extLst>
            <a:ext uri="{FF2B5EF4-FFF2-40B4-BE49-F238E27FC236}">
              <a16:creationId xmlns:a16="http://schemas.microsoft.com/office/drawing/2014/main" id="{2AADC110-2F50-461C-87E4-1D7ADCDC71DE}"/>
            </a:ext>
          </a:extLst>
        </xdr:cNvPr>
        <xdr:cNvSpPr>
          <a:spLocks noChangeArrowheads="1"/>
        </xdr:cNvSpPr>
      </xdr:nvSpPr>
      <xdr:spPr bwMode="auto">
        <a:xfrm>
          <a:off x="8271676" y="1654202"/>
          <a:ext cx="857250" cy="47078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H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LOCALE</a:t>
          </a:r>
        </a:p>
      </xdr:txBody>
    </xdr:sp>
    <xdr:clientData/>
  </xdr:twoCellAnchor>
  <xdr:twoCellAnchor>
    <xdr:from>
      <xdr:col>9</xdr:col>
      <xdr:colOff>1171160</xdr:colOff>
      <xdr:row>8</xdr:row>
      <xdr:rowOff>147432</xdr:rowOff>
    </xdr:from>
    <xdr:to>
      <xdr:col>10</xdr:col>
      <xdr:colOff>885410</xdr:colOff>
      <xdr:row>11</xdr:row>
      <xdr:rowOff>69576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4B97BC6D-5C89-43FB-A759-CDB683884BDD}"/>
            </a:ext>
          </a:extLst>
        </xdr:cNvPr>
        <xdr:cNvSpPr>
          <a:spLocks noChangeArrowheads="1"/>
        </xdr:cNvSpPr>
      </xdr:nvSpPr>
      <xdr:spPr bwMode="auto">
        <a:xfrm>
          <a:off x="10825700" y="1640952"/>
          <a:ext cx="887730" cy="47078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t-IT" sz="1000" b="0" i="0" strike="noStrike">
              <a:solidFill>
                <a:srgbClr val="000000"/>
              </a:solidFill>
              <a:latin typeface="Verdana"/>
            </a:rPr>
            <a:t>ER2020E H</a:t>
          </a:r>
          <a:br>
            <a:rPr lang="it-IT" sz="1000" b="0" i="0" strike="noStrike">
              <a:solidFill>
                <a:srgbClr val="000000"/>
              </a:solidFill>
              <a:latin typeface="Verdana"/>
            </a:rPr>
          </a:br>
          <a:r>
            <a:rPr lang="it-IT" sz="1000" b="0" i="0" strike="noStrike">
              <a:solidFill>
                <a:srgbClr val="000000"/>
              </a:solidFill>
              <a:latin typeface="Verdana"/>
            </a:rPr>
            <a:t>REMOTO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453565</xdr:colOff>
      <xdr:row>4</xdr:row>
      <xdr:rowOff>43950</xdr:rowOff>
    </xdr:from>
    <xdr:to>
      <xdr:col>9</xdr:col>
      <xdr:colOff>76587</xdr:colOff>
      <xdr:row>10</xdr:row>
      <xdr:rowOff>138353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B2CDB7B3-B45D-4D54-8816-6609616A1AFD}"/>
            </a:ext>
          </a:extLst>
        </xdr:cNvPr>
        <xdr:cNvSpPr>
          <a:spLocks noChangeArrowheads="1"/>
        </xdr:cNvSpPr>
      </xdr:nvSpPr>
      <xdr:spPr bwMode="auto">
        <a:xfrm>
          <a:off x="4720765" y="775470"/>
          <a:ext cx="842222" cy="1191683"/>
        </a:xfrm>
        <a:prstGeom prst="leftArrow">
          <a:avLst>
            <a:gd name="adj1" fmla="val 50000"/>
            <a:gd name="adj2" fmla="val 68377"/>
          </a:avLst>
        </a:prstGeom>
        <a:solidFill>
          <a:srgbClr val="FFC000"/>
        </a:solidFill>
        <a:ln w="254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INSERIRE LE NETWORK ASSEGNATE</a:t>
          </a:r>
        </a:p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(/29 e /28)</a:t>
          </a:r>
          <a:endParaRPr lang="it-IT" sz="600"/>
        </a:p>
      </xdr:txBody>
    </xdr:sp>
    <xdr:clientData/>
  </xdr:twoCellAnchor>
  <xdr:twoCellAnchor>
    <xdr:from>
      <xdr:col>7</xdr:col>
      <xdr:colOff>1206714</xdr:colOff>
      <xdr:row>29</xdr:row>
      <xdr:rowOff>170651</xdr:rowOff>
    </xdr:from>
    <xdr:to>
      <xdr:col>7</xdr:col>
      <xdr:colOff>1213101</xdr:colOff>
      <xdr:row>32</xdr:row>
      <xdr:rowOff>116779</xdr:rowOff>
    </xdr:to>
    <xdr:cxnSp macro="">
      <xdr:nvCxnSpPr>
        <xdr:cNvPr id="3" name="AutoShape 19">
          <a:extLst>
            <a:ext uri="{FF2B5EF4-FFF2-40B4-BE49-F238E27FC236}">
              <a16:creationId xmlns:a16="http://schemas.microsoft.com/office/drawing/2014/main" id="{A2FEA234-0DEB-486C-8AE2-CB5622D8FAC9}"/>
            </a:ext>
          </a:extLst>
        </xdr:cNvPr>
        <xdr:cNvCxnSpPr>
          <a:cxnSpLocks noChangeShapeType="1"/>
        </xdr:cNvCxnSpPr>
      </xdr:nvCxnSpPr>
      <xdr:spPr bwMode="auto">
        <a:xfrm>
          <a:off x="4879554" y="5474171"/>
          <a:ext cx="0" cy="49476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1177382</xdr:colOff>
      <xdr:row>27</xdr:row>
      <xdr:rowOff>23598</xdr:rowOff>
    </xdr:from>
    <xdr:to>
      <xdr:col>7</xdr:col>
      <xdr:colOff>1182116</xdr:colOff>
      <xdr:row>29</xdr:row>
      <xdr:rowOff>93442</xdr:rowOff>
    </xdr:to>
    <xdr:cxnSp macro="">
      <xdr:nvCxnSpPr>
        <xdr:cNvPr id="4" name="AutoShape 19">
          <a:extLst>
            <a:ext uri="{FF2B5EF4-FFF2-40B4-BE49-F238E27FC236}">
              <a16:creationId xmlns:a16="http://schemas.microsoft.com/office/drawing/2014/main" id="{8A5F2CD5-A530-4EEB-825C-8F69E71A520D}"/>
            </a:ext>
          </a:extLst>
        </xdr:cNvPr>
        <xdr:cNvCxnSpPr>
          <a:cxnSpLocks noChangeShapeType="1"/>
        </xdr:cNvCxnSpPr>
      </xdr:nvCxnSpPr>
      <xdr:spPr bwMode="auto">
        <a:xfrm flipH="1">
          <a:off x="4873082" y="4961358"/>
          <a:ext cx="4734" cy="43560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486895</xdr:colOff>
      <xdr:row>23</xdr:row>
      <xdr:rowOff>51226</xdr:rowOff>
    </xdr:from>
    <xdr:to>
      <xdr:col>13</xdr:col>
      <xdr:colOff>1242092</xdr:colOff>
      <xdr:row>40</xdr:row>
      <xdr:rowOff>3089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184A6F4-B318-419C-BE8F-516C685D3680}"/>
            </a:ext>
          </a:extLst>
        </xdr:cNvPr>
        <xdr:cNvGrpSpPr/>
      </xdr:nvGrpSpPr>
      <xdr:grpSpPr>
        <a:xfrm>
          <a:off x="9119266" y="4590569"/>
          <a:ext cx="8636455" cy="3195806"/>
          <a:chOff x="9119266" y="4862714"/>
          <a:chExt cx="8636455" cy="3190363"/>
        </a:xfrm>
      </xdr:grpSpPr>
      <xdr:sp macro="" textlink="">
        <xdr:nvSpPr>
          <xdr:cNvPr id="6" name="Rectangle 10">
            <a:extLst>
              <a:ext uri="{FF2B5EF4-FFF2-40B4-BE49-F238E27FC236}">
                <a16:creationId xmlns:a16="http://schemas.microsoft.com/office/drawing/2014/main" id="{B8F182C6-CC2C-AB52-176B-6E5C3D75B2BF}"/>
              </a:ext>
            </a:extLst>
          </xdr:cNvPr>
          <xdr:cNvSpPr>
            <a:spLocks noChangeArrowheads="1"/>
          </xdr:cNvSpPr>
        </xdr:nvSpPr>
        <xdr:spPr bwMode="auto">
          <a:xfrm>
            <a:off x="15156757" y="6536593"/>
            <a:ext cx="2598964" cy="150027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</xdr:txBody>
      </xdr:sp>
      <xdr:grpSp>
        <xdr:nvGrpSpPr>
          <xdr:cNvPr id="7" name="Group 21">
            <a:extLst>
              <a:ext uri="{FF2B5EF4-FFF2-40B4-BE49-F238E27FC236}">
                <a16:creationId xmlns:a16="http://schemas.microsoft.com/office/drawing/2014/main" id="{CA4A6252-B244-79CC-E173-8CCB7DFFEF63}"/>
              </a:ext>
            </a:extLst>
          </xdr:cNvPr>
          <xdr:cNvGrpSpPr>
            <a:grpSpLocks/>
          </xdr:cNvGrpSpPr>
        </xdr:nvGrpSpPr>
        <xdr:grpSpPr bwMode="auto">
          <a:xfrm>
            <a:off x="9316569" y="6077832"/>
            <a:ext cx="1115786" cy="890628"/>
            <a:chOff x="643" y="222"/>
            <a:chExt cx="36" cy="35"/>
          </a:xfrm>
        </xdr:grpSpPr>
        <xdr:sp macro="" textlink="">
          <xdr:nvSpPr>
            <xdr:cNvPr id="33" name="Oval 15">
              <a:extLst>
                <a:ext uri="{FF2B5EF4-FFF2-40B4-BE49-F238E27FC236}">
                  <a16:creationId xmlns:a16="http://schemas.microsoft.com/office/drawing/2014/main" id="{EDC2D3CC-DADD-0CBA-0CDC-8C5FC983FD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222"/>
              <a:ext cx="36" cy="35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4" name="Line 16">
              <a:extLst>
                <a:ext uri="{FF2B5EF4-FFF2-40B4-BE49-F238E27FC236}">
                  <a16:creationId xmlns:a16="http://schemas.microsoft.com/office/drawing/2014/main" id="{4797D793-51EA-CC43-05FB-F48A2A721BD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47" y="226"/>
              <a:ext cx="26" cy="2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5" name="Line 17">
              <a:extLst>
                <a:ext uri="{FF2B5EF4-FFF2-40B4-BE49-F238E27FC236}">
                  <a16:creationId xmlns:a16="http://schemas.microsoft.com/office/drawing/2014/main" id="{9541EB7A-AF90-882C-E494-FC33336579C7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649" y="227"/>
              <a:ext cx="25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cxnSp macro="">
        <xdr:nvCxnSpPr>
          <xdr:cNvPr id="8" name="AutoShape 19">
            <a:extLst>
              <a:ext uri="{FF2B5EF4-FFF2-40B4-BE49-F238E27FC236}">
                <a16:creationId xmlns:a16="http://schemas.microsoft.com/office/drawing/2014/main" id="{B7505113-FBB5-BC61-7B25-7413C35434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841807" y="5537628"/>
            <a:ext cx="1315922" cy="1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cxnSp>
      <xdr:grpSp>
        <xdr:nvGrpSpPr>
          <xdr:cNvPr id="9" name="Group 26">
            <a:extLst>
              <a:ext uri="{FF2B5EF4-FFF2-40B4-BE49-F238E27FC236}">
                <a16:creationId xmlns:a16="http://schemas.microsoft.com/office/drawing/2014/main" id="{E9CACFE9-B25F-57DC-F63A-6468702EAD88}"/>
              </a:ext>
            </a:extLst>
          </xdr:cNvPr>
          <xdr:cNvGrpSpPr>
            <a:grpSpLocks/>
          </xdr:cNvGrpSpPr>
        </xdr:nvGrpSpPr>
        <xdr:grpSpPr bwMode="auto">
          <a:xfrm>
            <a:off x="13220902" y="5273513"/>
            <a:ext cx="1821965" cy="461615"/>
            <a:chOff x="863" y="85"/>
            <a:chExt cx="62" cy="9"/>
          </a:xfrm>
        </xdr:grpSpPr>
        <xdr:sp macro="" textlink="">
          <xdr:nvSpPr>
            <xdr:cNvPr id="30" name="Line 23">
              <a:extLst>
                <a:ext uri="{FF2B5EF4-FFF2-40B4-BE49-F238E27FC236}">
                  <a16:creationId xmlns:a16="http://schemas.microsoft.com/office/drawing/2014/main" id="{059F6FB0-C26C-CFAB-B85B-81C479BB282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63" y="85"/>
              <a:ext cx="3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1" name="Line 24">
              <a:extLst>
                <a:ext uri="{FF2B5EF4-FFF2-40B4-BE49-F238E27FC236}">
                  <a16:creationId xmlns:a16="http://schemas.microsoft.com/office/drawing/2014/main" id="{D10BAB9E-6859-04D6-96B6-3555B18D409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6" y="94"/>
              <a:ext cx="3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2" name="Line 25">
              <a:extLst>
                <a:ext uri="{FF2B5EF4-FFF2-40B4-BE49-F238E27FC236}">
                  <a16:creationId xmlns:a16="http://schemas.microsoft.com/office/drawing/2014/main" id="{FCED3640-A381-EED5-4FF5-FE971B4EF00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6" y="86"/>
              <a:ext cx="17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0" name="Rectangle 10">
            <a:extLst>
              <a:ext uri="{FF2B5EF4-FFF2-40B4-BE49-F238E27FC236}">
                <a16:creationId xmlns:a16="http://schemas.microsoft.com/office/drawing/2014/main" id="{1DB6CC21-0087-986C-873F-2C746DE62B14}"/>
              </a:ext>
            </a:extLst>
          </xdr:cNvPr>
          <xdr:cNvSpPr>
            <a:spLocks noChangeArrowheads="1"/>
          </xdr:cNvSpPr>
        </xdr:nvSpPr>
        <xdr:spPr bwMode="auto">
          <a:xfrm>
            <a:off x="15155396" y="4868357"/>
            <a:ext cx="2558143" cy="1515637"/>
          </a:xfrm>
          <a:prstGeom prst="rect">
            <a:avLst/>
          </a:prstGeom>
          <a:solidFill>
            <a:srgbClr val="00FF99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F9FC8A2-81B7-973A-DB3B-C80F488EAED7}"/>
              </a:ext>
            </a:extLst>
          </xdr:cNvPr>
          <xdr:cNvSpPr>
            <a:spLocks noChangeArrowheads="1"/>
          </xdr:cNvSpPr>
        </xdr:nvSpPr>
        <xdr:spPr bwMode="auto">
          <a:xfrm>
            <a:off x="11109830" y="4862714"/>
            <a:ext cx="2002813" cy="1521279"/>
          </a:xfrm>
          <a:prstGeom prst="rect">
            <a:avLst/>
          </a:prstGeom>
          <a:solidFill>
            <a:srgbClr val="FFFF00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</xdr:txBody>
      </xdr:sp>
      <xdr:grpSp>
        <xdr:nvGrpSpPr>
          <xdr:cNvPr id="12" name="Group 26">
            <a:extLst>
              <a:ext uri="{FF2B5EF4-FFF2-40B4-BE49-F238E27FC236}">
                <a16:creationId xmlns:a16="http://schemas.microsoft.com/office/drawing/2014/main" id="{5065CBD1-0ADA-2ADC-4CB5-9AF6D1BF0D41}"/>
              </a:ext>
            </a:extLst>
          </xdr:cNvPr>
          <xdr:cNvGrpSpPr>
            <a:grpSpLocks/>
          </xdr:cNvGrpSpPr>
        </xdr:nvGrpSpPr>
        <xdr:grpSpPr bwMode="auto">
          <a:xfrm>
            <a:off x="13230520" y="7020907"/>
            <a:ext cx="1728933" cy="426394"/>
            <a:chOff x="863" y="85"/>
            <a:chExt cx="62" cy="9"/>
          </a:xfrm>
        </xdr:grpSpPr>
        <xdr:sp macro="" textlink="">
          <xdr:nvSpPr>
            <xdr:cNvPr id="27" name="Line 23">
              <a:extLst>
                <a:ext uri="{FF2B5EF4-FFF2-40B4-BE49-F238E27FC236}">
                  <a16:creationId xmlns:a16="http://schemas.microsoft.com/office/drawing/2014/main" id="{ABF0A6A3-622F-D56A-8ABA-65EC6189A25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63" y="85"/>
              <a:ext cx="3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8" name="Line 24">
              <a:extLst>
                <a:ext uri="{FF2B5EF4-FFF2-40B4-BE49-F238E27FC236}">
                  <a16:creationId xmlns:a16="http://schemas.microsoft.com/office/drawing/2014/main" id="{4C1EB24E-1D49-623F-6713-924F347B0C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6" y="94"/>
              <a:ext cx="3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9" name="Line 25">
              <a:extLst>
                <a:ext uri="{FF2B5EF4-FFF2-40B4-BE49-F238E27FC236}">
                  <a16:creationId xmlns:a16="http://schemas.microsoft.com/office/drawing/2014/main" id="{CDCD2D9C-16CC-3F09-7064-044A4F3CF8E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6" y="86"/>
              <a:ext cx="17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3" name="Rectangle 10">
            <a:extLst>
              <a:ext uri="{FF2B5EF4-FFF2-40B4-BE49-F238E27FC236}">
                <a16:creationId xmlns:a16="http://schemas.microsoft.com/office/drawing/2014/main" id="{607A5C0A-4527-42CF-21B4-8AD18E4CB676}"/>
              </a:ext>
            </a:extLst>
          </xdr:cNvPr>
          <xdr:cNvSpPr>
            <a:spLocks noChangeArrowheads="1"/>
          </xdr:cNvSpPr>
        </xdr:nvSpPr>
        <xdr:spPr bwMode="auto">
          <a:xfrm>
            <a:off x="11103262" y="6537184"/>
            <a:ext cx="1995774" cy="1505119"/>
          </a:xfrm>
          <a:prstGeom prst="rect">
            <a:avLst/>
          </a:prstGeom>
          <a:solidFill>
            <a:srgbClr val="FFFFCC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  <a:p>
            <a:pPr algn="ctr" rtl="0">
              <a:defRPr sz="1000"/>
            </a:pPr>
            <a:endParaRPr lang="it-IT" sz="1000" b="0" i="0" strike="noStrike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AFCC00C-9C1D-D932-7B43-471AABF5CEBA}"/>
              </a:ext>
            </a:extLst>
          </xdr:cNvPr>
          <xdr:cNvSpPr txBox="1"/>
        </xdr:nvSpPr>
        <xdr:spPr>
          <a:xfrm>
            <a:off x="11138173" y="5476888"/>
            <a:ext cx="515945" cy="26456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100" b="1">
                <a:solidFill>
                  <a:srgbClr val="FF0000"/>
                </a:solidFill>
              </a:rPr>
              <a:t>GE2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29A6AE3-A16A-60DB-C9F1-EE8CFB0DF240}"/>
              </a:ext>
            </a:extLst>
          </xdr:cNvPr>
          <xdr:cNvSpPr txBox="1"/>
        </xdr:nvSpPr>
        <xdr:spPr>
          <a:xfrm>
            <a:off x="11144413" y="7291991"/>
            <a:ext cx="496097" cy="27214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it-IT" sz="1100" b="1">
                <a:solidFill>
                  <a:srgbClr val="FF0000"/>
                </a:solidFill>
              </a:rPr>
              <a:t>GE2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1909D1B-8D5A-26B9-008B-AC2ABF474E25}"/>
              </a:ext>
            </a:extLst>
          </xdr:cNvPr>
          <xdr:cNvSpPr txBox="1"/>
        </xdr:nvSpPr>
        <xdr:spPr>
          <a:xfrm>
            <a:off x="11137574" y="6003282"/>
            <a:ext cx="884450" cy="26456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100" b="1" baseline="0">
                <a:solidFill>
                  <a:srgbClr val="FF0000"/>
                </a:solidFill>
              </a:rPr>
              <a:t>POE / TAL</a:t>
            </a:r>
            <a:endParaRPr lang="it-IT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8F16D66-66CF-0065-0732-3024ECF63DF3}"/>
              </a:ext>
            </a:extLst>
          </xdr:cNvPr>
          <xdr:cNvSpPr txBox="1"/>
        </xdr:nvSpPr>
        <xdr:spPr>
          <a:xfrm>
            <a:off x="15196463" y="6061426"/>
            <a:ext cx="884450" cy="26456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100" b="1" baseline="0">
                <a:solidFill>
                  <a:srgbClr val="FF0000"/>
                </a:solidFill>
              </a:rPr>
              <a:t>POE / TAL</a:t>
            </a:r>
            <a:endParaRPr lang="it-IT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C9604FCD-0DCB-9956-8028-5ABCB6A9DA55}"/>
              </a:ext>
            </a:extLst>
          </xdr:cNvPr>
          <xdr:cNvSpPr txBox="1"/>
        </xdr:nvSpPr>
        <xdr:spPr>
          <a:xfrm>
            <a:off x="15194638" y="7696428"/>
            <a:ext cx="884450" cy="26456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100" b="1">
                <a:solidFill>
                  <a:srgbClr val="FF0000"/>
                </a:solidFill>
              </a:rPr>
              <a:t>POE /</a:t>
            </a:r>
            <a:r>
              <a:rPr lang="it-IT" sz="1100" b="1" baseline="0">
                <a:solidFill>
                  <a:srgbClr val="FF0000"/>
                </a:solidFill>
              </a:rPr>
              <a:t> TAL</a:t>
            </a:r>
            <a:endParaRPr lang="it-IT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475DF64-7D02-30E1-768B-F3E934D05729}"/>
              </a:ext>
            </a:extLst>
          </xdr:cNvPr>
          <xdr:cNvSpPr txBox="1"/>
        </xdr:nvSpPr>
        <xdr:spPr>
          <a:xfrm>
            <a:off x="15158009" y="6789211"/>
            <a:ext cx="1122695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REMOTO V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F06DCF94-E05F-F80F-09FF-519A1DD9A506}"/>
              </a:ext>
            </a:extLst>
          </xdr:cNvPr>
          <xdr:cNvSpPr txBox="1"/>
        </xdr:nvSpPr>
        <xdr:spPr>
          <a:xfrm>
            <a:off x="15177391" y="5068603"/>
            <a:ext cx="1238266" cy="3109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REMOTO</a:t>
            </a:r>
            <a:r>
              <a:rPr lang="it-IT" sz="1400" b="1" baseline="0">
                <a:solidFill>
                  <a:sysClr val="windowText" lastClr="000000"/>
                </a:solidFill>
              </a:rPr>
              <a:t> H</a:t>
            </a:r>
            <a:endParaRPr lang="it-IT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D810345-C090-0B0B-309A-6F91015E38B9}"/>
              </a:ext>
            </a:extLst>
          </xdr:cNvPr>
          <xdr:cNvSpPr txBox="1"/>
        </xdr:nvSpPr>
        <xdr:spPr>
          <a:xfrm>
            <a:off x="11137115" y="7788517"/>
            <a:ext cx="884450" cy="26456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100" b="1" baseline="0">
                <a:solidFill>
                  <a:srgbClr val="FF0000"/>
                </a:solidFill>
              </a:rPr>
              <a:t>POE / TAL</a:t>
            </a:r>
            <a:endParaRPr lang="it-IT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E8730-4FD8-AEB6-A033-FEE5B872288B}"/>
              </a:ext>
            </a:extLst>
          </xdr:cNvPr>
          <xdr:cNvSpPr txBox="1"/>
        </xdr:nvSpPr>
        <xdr:spPr>
          <a:xfrm>
            <a:off x="11573995" y="5001186"/>
            <a:ext cx="903196" cy="3109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LOCALE H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BB38E8C-C78E-47B6-4C65-BE15BE26BCBD}"/>
              </a:ext>
            </a:extLst>
          </xdr:cNvPr>
          <xdr:cNvSpPr txBox="1"/>
        </xdr:nvSpPr>
        <xdr:spPr>
          <a:xfrm>
            <a:off x="11566144" y="6797031"/>
            <a:ext cx="929053" cy="3109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LOCALE V</a:t>
            </a:r>
          </a:p>
        </xdr:txBody>
      </xdr:sp>
      <xdr:cxnSp macro="">
        <xdr:nvCxnSpPr>
          <xdr:cNvPr id="24" name="AutoShape 19">
            <a:extLst>
              <a:ext uri="{FF2B5EF4-FFF2-40B4-BE49-F238E27FC236}">
                <a16:creationId xmlns:a16="http://schemas.microsoft.com/office/drawing/2014/main" id="{7BF609F6-8EF2-EF4B-24E9-52D2BE8E1F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807810" y="7411548"/>
            <a:ext cx="1296581" cy="186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cxn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20C957A-5A1C-2A4D-8703-4D37D29FF900}"/>
              </a:ext>
            </a:extLst>
          </xdr:cNvPr>
          <xdr:cNvSpPr txBox="1"/>
        </xdr:nvSpPr>
        <xdr:spPr>
          <a:xfrm>
            <a:off x="9184579" y="5730577"/>
            <a:ext cx="615233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FE/RF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DF900715-EFD4-1FD5-EA7B-B6AF163623E0}"/>
              </a:ext>
            </a:extLst>
          </xdr:cNvPr>
          <xdr:cNvSpPr txBox="1"/>
        </xdr:nvSpPr>
        <xdr:spPr>
          <a:xfrm>
            <a:off x="9119266" y="6963336"/>
            <a:ext cx="615233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FE/RF</a:t>
            </a:r>
          </a:p>
        </xdr:txBody>
      </xdr:sp>
    </xdr:grpSp>
    <xdr:clientData/>
  </xdr:twoCellAnchor>
  <xdr:twoCellAnchor>
    <xdr:from>
      <xdr:col>7</xdr:col>
      <xdr:colOff>1186542</xdr:colOff>
      <xdr:row>34</xdr:row>
      <xdr:rowOff>130629</xdr:rowOff>
    </xdr:from>
    <xdr:to>
      <xdr:col>7</xdr:col>
      <xdr:colOff>1191276</xdr:colOff>
      <xdr:row>36</xdr:row>
      <xdr:rowOff>200473</xdr:rowOff>
    </xdr:to>
    <xdr:cxnSp macro="">
      <xdr:nvCxnSpPr>
        <xdr:cNvPr id="36" name="AutoShape 19">
          <a:extLst>
            <a:ext uri="{FF2B5EF4-FFF2-40B4-BE49-F238E27FC236}">
              <a16:creationId xmlns:a16="http://schemas.microsoft.com/office/drawing/2014/main" id="{7BB18AF5-2DBE-4267-8968-55AAB97D6CF3}"/>
            </a:ext>
          </a:extLst>
        </xdr:cNvPr>
        <xdr:cNvCxnSpPr>
          <a:cxnSpLocks noChangeShapeType="1"/>
        </xdr:cNvCxnSpPr>
      </xdr:nvCxnSpPr>
      <xdr:spPr bwMode="auto">
        <a:xfrm flipH="1">
          <a:off x="4874622" y="6348549"/>
          <a:ext cx="4734" cy="42036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794251</xdr:colOff>
      <xdr:row>18</xdr:row>
      <xdr:rowOff>181844</xdr:rowOff>
    </xdr:from>
    <xdr:to>
      <xdr:col>6</xdr:col>
      <xdr:colOff>278245</xdr:colOff>
      <xdr:row>21</xdr:row>
      <xdr:rowOff>869</xdr:rowOff>
    </xdr:to>
    <xdr:grpSp>
      <xdr:nvGrpSpPr>
        <xdr:cNvPr id="2" name="Group 21">
          <a:extLst>
            <a:ext uri="{FF2B5EF4-FFF2-40B4-BE49-F238E27FC236}">
              <a16:creationId xmlns:a16="http://schemas.microsoft.com/office/drawing/2014/main" id="{488E197D-1093-4E01-AB44-1E453827CDDF}"/>
            </a:ext>
          </a:extLst>
        </xdr:cNvPr>
        <xdr:cNvGrpSpPr>
          <a:grpSpLocks/>
        </xdr:cNvGrpSpPr>
      </xdr:nvGrpSpPr>
      <xdr:grpSpPr bwMode="auto">
        <a:xfrm>
          <a:off x="4919937" y="3589073"/>
          <a:ext cx="387508" cy="374196"/>
          <a:chOff x="643" y="222"/>
          <a:chExt cx="36" cy="35"/>
        </a:xfrm>
      </xdr:grpSpPr>
      <xdr:sp macro="" textlink="">
        <xdr:nvSpPr>
          <xdr:cNvPr id="3" name="Oval 15">
            <a:extLst>
              <a:ext uri="{FF2B5EF4-FFF2-40B4-BE49-F238E27FC236}">
                <a16:creationId xmlns:a16="http://schemas.microsoft.com/office/drawing/2014/main" id="{14965A04-6DCD-DE92-86CD-8D32BA98E9BA}"/>
              </a:ext>
            </a:extLst>
          </xdr:cNvPr>
          <xdr:cNvSpPr>
            <a:spLocks noChangeArrowheads="1"/>
          </xdr:cNvSpPr>
        </xdr:nvSpPr>
        <xdr:spPr bwMode="auto">
          <a:xfrm>
            <a:off x="643" y="222"/>
            <a:ext cx="36" cy="3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16">
            <a:extLst>
              <a:ext uri="{FF2B5EF4-FFF2-40B4-BE49-F238E27FC236}">
                <a16:creationId xmlns:a16="http://schemas.microsoft.com/office/drawing/2014/main" id="{8E567FA7-E186-54C9-BF9B-FF203129906C}"/>
              </a:ext>
            </a:extLst>
          </xdr:cNvPr>
          <xdr:cNvSpPr>
            <a:spLocks noChangeShapeType="1"/>
          </xdr:cNvSpPr>
        </xdr:nvSpPr>
        <xdr:spPr bwMode="auto">
          <a:xfrm flipH="1">
            <a:off x="647" y="226"/>
            <a:ext cx="26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17">
            <a:extLst>
              <a:ext uri="{FF2B5EF4-FFF2-40B4-BE49-F238E27FC236}">
                <a16:creationId xmlns:a16="http://schemas.microsoft.com/office/drawing/2014/main" id="{A5EB1E7D-E57E-1DEF-398B-9E3A2998889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49" y="227"/>
            <a:ext cx="26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293077</xdr:colOff>
      <xdr:row>20</xdr:row>
      <xdr:rowOff>23232</xdr:rowOff>
    </xdr:from>
    <xdr:to>
      <xdr:col>6</xdr:col>
      <xdr:colOff>847958</xdr:colOff>
      <xdr:row>20</xdr:row>
      <xdr:rowOff>29307</xdr:rowOff>
    </xdr:to>
    <xdr:cxnSp macro="">
      <xdr:nvCxnSpPr>
        <xdr:cNvPr id="6" name="AutoShape 19">
          <a:extLst>
            <a:ext uri="{FF2B5EF4-FFF2-40B4-BE49-F238E27FC236}">
              <a16:creationId xmlns:a16="http://schemas.microsoft.com/office/drawing/2014/main" id="{6B21634F-6993-4925-949C-7A9302DCCF3B}"/>
            </a:ext>
          </a:extLst>
        </xdr:cNvPr>
        <xdr:cNvCxnSpPr>
          <a:cxnSpLocks noChangeShapeType="1"/>
        </xdr:cNvCxnSpPr>
      </xdr:nvCxnSpPr>
      <xdr:spPr bwMode="auto">
        <a:xfrm flipV="1">
          <a:off x="3950677" y="3680832"/>
          <a:ext cx="318661" cy="60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1591373</xdr:colOff>
      <xdr:row>12</xdr:row>
      <xdr:rowOff>162623</xdr:rowOff>
    </xdr:from>
    <xdr:to>
      <xdr:col>9</xdr:col>
      <xdr:colOff>733091</xdr:colOff>
      <xdr:row>15</xdr:row>
      <xdr:rowOff>0</xdr:rowOff>
    </xdr:to>
    <xdr:grpSp>
      <xdr:nvGrpSpPr>
        <xdr:cNvPr id="7" name="Group 26">
          <a:extLst>
            <a:ext uri="{FF2B5EF4-FFF2-40B4-BE49-F238E27FC236}">
              <a16:creationId xmlns:a16="http://schemas.microsoft.com/office/drawing/2014/main" id="{F5D3885B-A5C8-4DC7-8726-090385D7F360}"/>
            </a:ext>
          </a:extLst>
        </xdr:cNvPr>
        <xdr:cNvGrpSpPr>
          <a:grpSpLocks/>
        </xdr:cNvGrpSpPr>
      </xdr:nvGrpSpPr>
      <xdr:grpSpPr bwMode="auto">
        <a:xfrm>
          <a:off x="8536459" y="2459509"/>
          <a:ext cx="2581603" cy="392548"/>
          <a:chOff x="863" y="85"/>
          <a:chExt cx="62" cy="9"/>
        </a:xfrm>
      </xdr:grpSpPr>
      <xdr:sp macro="" textlink="">
        <xdr:nvSpPr>
          <xdr:cNvPr id="8" name="Line 23">
            <a:extLst>
              <a:ext uri="{FF2B5EF4-FFF2-40B4-BE49-F238E27FC236}">
                <a16:creationId xmlns:a16="http://schemas.microsoft.com/office/drawing/2014/main" id="{1965ED6A-F57E-49F8-7685-78EA170C438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3" y="85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Line 24">
            <a:extLst>
              <a:ext uri="{FF2B5EF4-FFF2-40B4-BE49-F238E27FC236}">
                <a16:creationId xmlns:a16="http://schemas.microsoft.com/office/drawing/2014/main" id="{57DEAE79-A848-8DE0-59A4-0BC9C4474440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94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25">
            <a:extLst>
              <a:ext uri="{FF2B5EF4-FFF2-40B4-BE49-F238E27FC236}">
                <a16:creationId xmlns:a16="http://schemas.microsoft.com/office/drawing/2014/main" id="{97D520F4-60E2-6454-5BFC-DA212D804793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86"/>
            <a:ext cx="1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9</xdr:col>
      <xdr:colOff>911613</xdr:colOff>
      <xdr:row>11</xdr:row>
      <xdr:rowOff>71166</xdr:rowOff>
    </xdr:from>
    <xdr:to>
      <xdr:col>11</xdr:col>
      <xdr:colOff>174237</xdr:colOff>
      <xdr:row>17</xdr:row>
      <xdr:rowOff>139390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1E3DB49-9CCE-449B-8C37-86E8D4CC9126}"/>
            </a:ext>
          </a:extLst>
        </xdr:cNvPr>
        <xdr:cNvSpPr>
          <a:spLocks noChangeArrowheads="1"/>
        </xdr:cNvSpPr>
      </xdr:nvSpPr>
      <xdr:spPr bwMode="auto">
        <a:xfrm>
          <a:off x="6093213" y="2082846"/>
          <a:ext cx="786624" cy="1165504"/>
        </a:xfrm>
        <a:prstGeom prst="rect">
          <a:avLst/>
        </a:prstGeom>
        <a:solidFill>
          <a:srgbClr val="00FF99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54362</xdr:colOff>
      <xdr:row>11</xdr:row>
      <xdr:rowOff>24703</xdr:rowOff>
    </xdr:from>
    <xdr:to>
      <xdr:col>7</xdr:col>
      <xdr:colOff>1556523</xdr:colOff>
      <xdr:row>18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F66B0335-0528-41C6-AF7B-2AF7696060D3}"/>
            </a:ext>
          </a:extLst>
        </xdr:cNvPr>
        <xdr:cNvSpPr>
          <a:spLocks noChangeArrowheads="1"/>
        </xdr:cNvSpPr>
      </xdr:nvSpPr>
      <xdr:spPr bwMode="auto">
        <a:xfrm>
          <a:off x="4321562" y="2036383"/>
          <a:ext cx="557281" cy="1255457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107156</xdr:colOff>
      <xdr:row>1</xdr:row>
      <xdr:rowOff>23813</xdr:rowOff>
    </xdr:from>
    <xdr:to>
      <xdr:col>9</xdr:col>
      <xdr:colOff>224118</xdr:colOff>
      <xdr:row>6</xdr:row>
      <xdr:rowOff>20319</xdr:rowOff>
    </xdr:to>
    <xdr:sp macro="" textlink="">
      <xdr:nvSpPr>
        <xdr:cNvPr id="13" name="Freccia a sinistra 1">
          <a:extLst>
            <a:ext uri="{FF2B5EF4-FFF2-40B4-BE49-F238E27FC236}">
              <a16:creationId xmlns:a16="http://schemas.microsoft.com/office/drawing/2014/main" id="{8BBF95AD-B850-4658-9CEC-7784A96D0BD1}"/>
            </a:ext>
          </a:extLst>
        </xdr:cNvPr>
        <xdr:cNvSpPr>
          <a:spLocks noChangeArrowheads="1"/>
        </xdr:cNvSpPr>
      </xdr:nvSpPr>
      <xdr:spPr bwMode="auto">
        <a:xfrm>
          <a:off x="4374356" y="206693"/>
          <a:ext cx="1336162" cy="910906"/>
        </a:xfrm>
        <a:prstGeom prst="leftArrow">
          <a:avLst>
            <a:gd name="adj1" fmla="val 50000"/>
            <a:gd name="adj2" fmla="val 68377"/>
          </a:avLst>
        </a:prstGeom>
        <a:solidFill>
          <a:srgbClr val="FFC000"/>
        </a:solidFill>
        <a:ln w="25400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INSERIRE LE NETWORK ASSEGNATE</a:t>
          </a:r>
        </a:p>
        <a:p>
          <a:pPr algn="l" rtl="0">
            <a:defRPr sz="1000"/>
          </a:pPr>
          <a:r>
            <a:rPr lang="it-IT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(/29 e /28)</a:t>
          </a:r>
          <a:endParaRPr lang="it-IT" sz="600"/>
        </a:p>
      </xdr:txBody>
    </xdr:sp>
    <xdr:clientData/>
  </xdr:twoCellAnchor>
  <xdr:twoCellAnchor>
    <xdr:from>
      <xdr:col>7</xdr:col>
      <xdr:colOff>1641812</xdr:colOff>
      <xdr:row>22</xdr:row>
      <xdr:rowOff>151006</xdr:rowOff>
    </xdr:from>
    <xdr:to>
      <xdr:col>9</xdr:col>
      <xdr:colOff>696951</xdr:colOff>
      <xdr:row>24</xdr:row>
      <xdr:rowOff>149560</xdr:rowOff>
    </xdr:to>
    <xdr:grpSp>
      <xdr:nvGrpSpPr>
        <xdr:cNvPr id="14" name="Group 26">
          <a:extLst>
            <a:ext uri="{FF2B5EF4-FFF2-40B4-BE49-F238E27FC236}">
              <a16:creationId xmlns:a16="http://schemas.microsoft.com/office/drawing/2014/main" id="{C4C316C0-2D74-46B1-B1EF-A3ACE73C2B59}"/>
            </a:ext>
          </a:extLst>
        </xdr:cNvPr>
        <xdr:cNvGrpSpPr>
          <a:grpSpLocks/>
        </xdr:cNvGrpSpPr>
      </xdr:nvGrpSpPr>
      <xdr:grpSpPr bwMode="auto">
        <a:xfrm>
          <a:off x="8586898" y="4298463"/>
          <a:ext cx="2495024" cy="368668"/>
          <a:chOff x="863" y="85"/>
          <a:chExt cx="62" cy="9"/>
        </a:xfrm>
      </xdr:grpSpPr>
      <xdr:sp macro="" textlink="">
        <xdr:nvSpPr>
          <xdr:cNvPr id="15" name="Line 23">
            <a:extLst>
              <a:ext uri="{FF2B5EF4-FFF2-40B4-BE49-F238E27FC236}">
                <a16:creationId xmlns:a16="http://schemas.microsoft.com/office/drawing/2014/main" id="{00740FAE-BAAC-3B03-9F21-0889A4FFDB4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3" y="85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24">
            <a:extLst>
              <a:ext uri="{FF2B5EF4-FFF2-40B4-BE49-F238E27FC236}">
                <a16:creationId xmlns:a16="http://schemas.microsoft.com/office/drawing/2014/main" id="{15BE7F0A-7F64-5267-B461-DAA6FCD8D523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94"/>
            <a:ext cx="3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Line 25">
            <a:extLst>
              <a:ext uri="{FF2B5EF4-FFF2-40B4-BE49-F238E27FC236}">
                <a16:creationId xmlns:a16="http://schemas.microsoft.com/office/drawing/2014/main" id="{03F8C902-63C7-9A3C-99FD-5B2F2B62AA2F}"/>
              </a:ext>
            </a:extLst>
          </xdr:cNvPr>
          <xdr:cNvSpPr>
            <a:spLocks noChangeShapeType="1"/>
          </xdr:cNvSpPr>
        </xdr:nvSpPr>
        <xdr:spPr bwMode="auto">
          <a:xfrm flipV="1">
            <a:off x="886" y="86"/>
            <a:ext cx="1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9</xdr:col>
      <xdr:colOff>766647</xdr:colOff>
      <xdr:row>20</xdr:row>
      <xdr:rowOff>92927</xdr:rowOff>
    </xdr:from>
    <xdr:to>
      <xdr:col>11</xdr:col>
      <xdr:colOff>139390</xdr:colOff>
      <xdr:row>27</xdr:row>
      <xdr:rowOff>34846</xdr:rowOff>
    </xdr:to>
    <xdr:sp macro="" textlink="">
      <xdr:nvSpPr>
        <xdr:cNvPr id="18" name="Rectangle 10">
          <a:extLst>
            <a:ext uri="{FF2B5EF4-FFF2-40B4-BE49-F238E27FC236}">
              <a16:creationId xmlns:a16="http://schemas.microsoft.com/office/drawing/2014/main" id="{938B3916-B267-40A4-8165-4EA65B5F1B8E}"/>
            </a:ext>
          </a:extLst>
        </xdr:cNvPr>
        <xdr:cNvSpPr>
          <a:spLocks noChangeArrowheads="1"/>
        </xdr:cNvSpPr>
      </xdr:nvSpPr>
      <xdr:spPr bwMode="auto">
        <a:xfrm>
          <a:off x="6093027" y="3750527"/>
          <a:ext cx="751963" cy="1222079"/>
        </a:xfrm>
        <a:prstGeom prst="rect">
          <a:avLst/>
        </a:prstGeom>
        <a:solidFill>
          <a:srgbClr val="00FF99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102221</xdr:colOff>
      <xdr:row>20</xdr:row>
      <xdr:rowOff>84176</xdr:rowOff>
    </xdr:from>
    <xdr:to>
      <xdr:col>7</xdr:col>
      <xdr:colOff>1673679</xdr:colOff>
      <xdr:row>27</xdr:row>
      <xdr:rowOff>163286</xdr:rowOff>
    </xdr:to>
    <xdr:sp macro="" textlink="">
      <xdr:nvSpPr>
        <xdr:cNvPr id="19" name="Rectangle 10">
          <a:extLst>
            <a:ext uri="{FF2B5EF4-FFF2-40B4-BE49-F238E27FC236}">
              <a16:creationId xmlns:a16="http://schemas.microsoft.com/office/drawing/2014/main" id="{9FF72D4A-EE92-4360-9F8B-7BBE7F22BF47}"/>
            </a:ext>
          </a:extLst>
        </xdr:cNvPr>
        <xdr:cNvSpPr>
          <a:spLocks noChangeArrowheads="1"/>
        </xdr:cNvSpPr>
      </xdr:nvSpPr>
      <xdr:spPr bwMode="auto">
        <a:xfrm>
          <a:off x="4369421" y="3741776"/>
          <a:ext cx="504658" cy="135927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it-IT" sz="1000" b="0" i="0" strike="noStrike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6</xdr:col>
      <xdr:colOff>843642</xdr:colOff>
      <xdr:row>14</xdr:row>
      <xdr:rowOff>185057</xdr:rowOff>
    </xdr:from>
    <xdr:to>
      <xdr:col>6</xdr:col>
      <xdr:colOff>848688</xdr:colOff>
      <xdr:row>20</xdr:row>
      <xdr:rowOff>23232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431428C-EB10-4F77-BB0F-385C8328F4B7}"/>
            </a:ext>
          </a:extLst>
        </xdr:cNvPr>
        <xdr:cNvCxnSpPr/>
      </xdr:nvCxnSpPr>
      <xdr:spPr>
        <a:xfrm flipH="1" flipV="1">
          <a:off x="4265022" y="2745377"/>
          <a:ext cx="5046" cy="935455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843643</xdr:colOff>
      <xdr:row>15</xdr:row>
      <xdr:rowOff>0</xdr:rowOff>
    </xdr:from>
    <xdr:to>
      <xdr:col>7</xdr:col>
      <xdr:colOff>34847</xdr:colOff>
      <xdr:row>15</xdr:row>
      <xdr:rowOff>1</xdr:rowOff>
    </xdr:to>
    <xdr:cxnSp macro="">
      <xdr:nvCxnSpPr>
        <xdr:cNvPr id="21" name="AutoShape 19">
          <a:extLst>
            <a:ext uri="{FF2B5EF4-FFF2-40B4-BE49-F238E27FC236}">
              <a16:creationId xmlns:a16="http://schemas.microsoft.com/office/drawing/2014/main" id="{5873689E-217C-4838-BA15-40949B3024E2}"/>
            </a:ext>
          </a:extLst>
        </xdr:cNvPr>
        <xdr:cNvCxnSpPr>
          <a:cxnSpLocks noChangeShapeType="1"/>
        </xdr:cNvCxnSpPr>
      </xdr:nvCxnSpPr>
      <xdr:spPr bwMode="auto">
        <a:xfrm>
          <a:off x="4265023" y="2743200"/>
          <a:ext cx="37024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6</xdr:col>
      <xdr:colOff>849352</xdr:colOff>
      <xdr:row>20</xdr:row>
      <xdr:rowOff>23812</xdr:rowOff>
    </xdr:from>
    <xdr:to>
      <xdr:col>6</xdr:col>
      <xdr:colOff>851297</xdr:colOff>
      <xdr:row>25</xdr:row>
      <xdr:rowOff>59473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F97DF5F-3B89-4170-88F6-A8E0F78A27E1}"/>
            </a:ext>
          </a:extLst>
        </xdr:cNvPr>
        <xdr:cNvCxnSpPr/>
      </xdr:nvCxnSpPr>
      <xdr:spPr>
        <a:xfrm flipV="1">
          <a:off x="4270732" y="3681412"/>
          <a:ext cx="0" cy="95006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849351</xdr:colOff>
      <xdr:row>25</xdr:row>
      <xdr:rowOff>47859</xdr:rowOff>
    </xdr:from>
    <xdr:to>
      <xdr:col>7</xdr:col>
      <xdr:colOff>116158</xdr:colOff>
      <xdr:row>25</xdr:row>
      <xdr:rowOff>50968</xdr:rowOff>
    </xdr:to>
    <xdr:cxnSp macro="">
      <xdr:nvCxnSpPr>
        <xdr:cNvPr id="23" name="AutoShape 19">
          <a:extLst>
            <a:ext uri="{FF2B5EF4-FFF2-40B4-BE49-F238E27FC236}">
              <a16:creationId xmlns:a16="http://schemas.microsoft.com/office/drawing/2014/main" id="{A2098B3E-9CDA-4AD9-97FE-EEA105BB42D0}"/>
            </a:ext>
          </a:extLst>
        </xdr:cNvPr>
        <xdr:cNvCxnSpPr>
          <a:cxnSpLocks noChangeShapeType="1"/>
          <a:endCxn id="26" idx="1"/>
        </xdr:cNvCxnSpPr>
      </xdr:nvCxnSpPr>
      <xdr:spPr bwMode="auto">
        <a:xfrm>
          <a:off x="4270731" y="4619859"/>
          <a:ext cx="112627" cy="310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oneCellAnchor>
    <xdr:from>
      <xdr:col>7</xdr:col>
      <xdr:colOff>82704</xdr:colOff>
      <xdr:row>14</xdr:row>
      <xdr:rowOff>71090</xdr:rowOff>
    </xdr:from>
    <xdr:ext cx="1327223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EE63811-A0DD-40D5-BFBC-F990C24C11BD}"/>
            </a:ext>
          </a:extLst>
        </xdr:cNvPr>
        <xdr:cNvSpPr txBox="1"/>
      </xdr:nvSpPr>
      <xdr:spPr>
        <a:xfrm>
          <a:off x="4349904" y="2631410"/>
          <a:ext cx="1327223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rgbClr val="FF0000"/>
              </a:solidFill>
            </a:rPr>
            <a:t>XGE3-1/1/0/3.3556</a:t>
          </a:r>
        </a:p>
      </xdr:txBody>
    </xdr:sp>
    <xdr:clientData/>
  </xdr:oneCellAnchor>
  <xdr:oneCellAnchor>
    <xdr:from>
      <xdr:col>7</xdr:col>
      <xdr:colOff>457947</xdr:colOff>
      <xdr:row>11</xdr:row>
      <xdr:rowOff>154015</xdr:rowOff>
    </xdr:from>
    <xdr:ext cx="74911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33FE201-5599-4509-ADE7-A588B43CCEFC}"/>
            </a:ext>
          </a:extLst>
        </xdr:cNvPr>
        <xdr:cNvSpPr txBox="1"/>
      </xdr:nvSpPr>
      <xdr:spPr>
        <a:xfrm>
          <a:off x="7403033" y="2265844"/>
          <a:ext cx="7491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ysClr val="windowText" lastClr="000000"/>
              </a:solidFill>
            </a:rPr>
            <a:t>LOCALE H</a:t>
          </a:r>
        </a:p>
      </xdr:txBody>
    </xdr:sp>
    <xdr:clientData/>
  </xdr:oneCellAnchor>
  <xdr:oneCellAnchor>
    <xdr:from>
      <xdr:col>7</xdr:col>
      <xdr:colOff>116158</xdr:colOff>
      <xdr:row>24</xdr:row>
      <xdr:rowOff>104542</xdr:rowOff>
    </xdr:from>
    <xdr:ext cx="1327223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54ED3B-42DF-4EC5-825B-A86F0273218C}"/>
            </a:ext>
          </a:extLst>
        </xdr:cNvPr>
        <xdr:cNvSpPr txBox="1"/>
      </xdr:nvSpPr>
      <xdr:spPr>
        <a:xfrm>
          <a:off x="4383358" y="4493662"/>
          <a:ext cx="1327223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rgbClr val="FF0000"/>
              </a:solidFill>
            </a:rPr>
            <a:t>XGE3-1/1/0/3.3556</a:t>
          </a:r>
        </a:p>
      </xdr:txBody>
    </xdr:sp>
    <xdr:clientData/>
  </xdr:oneCellAnchor>
  <xdr:oneCellAnchor>
    <xdr:from>
      <xdr:col>7</xdr:col>
      <xdr:colOff>95712</xdr:colOff>
      <xdr:row>16</xdr:row>
      <xdr:rowOff>37636</xdr:rowOff>
    </xdr:from>
    <xdr:ext cx="7632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614357C-9903-4EF1-B215-EE1724019C0A}"/>
            </a:ext>
          </a:extLst>
        </xdr:cNvPr>
        <xdr:cNvSpPr txBox="1"/>
      </xdr:nvSpPr>
      <xdr:spPr>
        <a:xfrm>
          <a:off x="4362912" y="2963716"/>
          <a:ext cx="763222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rgbClr val="FF0000"/>
              </a:solidFill>
            </a:rPr>
            <a:t>POE / </a:t>
          </a:r>
          <a:r>
            <a:rPr lang="it-IT" sz="1100" b="1" baseline="0">
              <a:solidFill>
                <a:srgbClr val="FF0000"/>
              </a:solidFill>
            </a:rPr>
            <a:t>TAL</a:t>
          </a:r>
          <a:endParaRPr lang="it-IT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956616</xdr:colOff>
      <xdr:row>16</xdr:row>
      <xdr:rowOff>24702</xdr:rowOff>
    </xdr:from>
    <xdr:ext cx="7632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4A5BF0-0ECE-483B-BAE6-71CD1A2D8D3F}"/>
            </a:ext>
          </a:extLst>
        </xdr:cNvPr>
        <xdr:cNvSpPr txBox="1"/>
      </xdr:nvSpPr>
      <xdr:spPr>
        <a:xfrm>
          <a:off x="6092496" y="2950782"/>
          <a:ext cx="763222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rgbClr val="FF0000"/>
              </a:solidFill>
            </a:rPr>
            <a:t>POE /</a:t>
          </a:r>
          <a:r>
            <a:rPr lang="it-IT" sz="1100" b="1" baseline="0">
              <a:solidFill>
                <a:srgbClr val="FF0000"/>
              </a:solidFill>
            </a:rPr>
            <a:t> TAL</a:t>
          </a:r>
          <a:endParaRPr lang="it-IT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820081</xdr:colOff>
      <xdr:row>25</xdr:row>
      <xdr:rowOff>72560</xdr:rowOff>
    </xdr:from>
    <xdr:ext cx="7632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2488FA9-D564-41C2-B46B-183CC7A84753}"/>
            </a:ext>
          </a:extLst>
        </xdr:cNvPr>
        <xdr:cNvSpPr txBox="1"/>
      </xdr:nvSpPr>
      <xdr:spPr>
        <a:xfrm>
          <a:off x="6093121" y="4644560"/>
          <a:ext cx="763222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rgbClr val="FF0000"/>
              </a:solidFill>
            </a:rPr>
            <a:t>POE / </a:t>
          </a:r>
          <a:r>
            <a:rPr lang="it-IT" sz="1100" b="1" baseline="0">
              <a:solidFill>
                <a:srgbClr val="FF0000"/>
              </a:solidFill>
            </a:rPr>
            <a:t>TAL</a:t>
          </a:r>
          <a:endParaRPr lang="it-IT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558954</xdr:colOff>
      <xdr:row>21</xdr:row>
      <xdr:rowOff>94320</xdr:rowOff>
    </xdr:from>
    <xdr:ext cx="743537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01DCA62-1CC8-4A6C-A85C-BF3B591BB7C9}"/>
            </a:ext>
          </a:extLst>
        </xdr:cNvPr>
        <xdr:cNvSpPr txBox="1"/>
      </xdr:nvSpPr>
      <xdr:spPr>
        <a:xfrm>
          <a:off x="7504040" y="4056720"/>
          <a:ext cx="7435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ysClr val="windowText" lastClr="000000"/>
              </a:solidFill>
            </a:rPr>
            <a:t>LOCALE V</a:t>
          </a:r>
        </a:p>
      </xdr:txBody>
    </xdr:sp>
    <xdr:clientData/>
  </xdr:oneCellAnchor>
  <xdr:oneCellAnchor>
    <xdr:from>
      <xdr:col>10</xdr:col>
      <xdr:colOff>290397</xdr:colOff>
      <xdr:row>21</xdr:row>
      <xdr:rowOff>11616</xdr:rowOff>
    </xdr:from>
    <xdr:ext cx="83215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E19F2E9-35FC-4A72-9265-43676DFCCF9F}"/>
            </a:ext>
          </a:extLst>
        </xdr:cNvPr>
        <xdr:cNvSpPr txBox="1"/>
      </xdr:nvSpPr>
      <xdr:spPr>
        <a:xfrm>
          <a:off x="11665968" y="3974016"/>
          <a:ext cx="8321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ysClr val="windowText" lastClr="000000"/>
              </a:solidFill>
            </a:rPr>
            <a:t>REMOTO V</a:t>
          </a:r>
        </a:p>
      </xdr:txBody>
    </xdr:sp>
    <xdr:clientData/>
  </xdr:oneCellAnchor>
  <xdr:oneCellAnchor>
    <xdr:from>
      <xdr:col>10</xdr:col>
      <xdr:colOff>361486</xdr:colOff>
      <xdr:row>11</xdr:row>
      <xdr:rowOff>140785</xdr:rowOff>
    </xdr:from>
    <xdr:ext cx="83773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9F3B0D8-E2DC-498A-B0B1-301147D18BDF}"/>
            </a:ext>
          </a:extLst>
        </xdr:cNvPr>
        <xdr:cNvSpPr txBox="1"/>
      </xdr:nvSpPr>
      <xdr:spPr>
        <a:xfrm>
          <a:off x="11737057" y="2252614"/>
          <a:ext cx="8377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ysClr val="windowText" lastClr="000000"/>
              </a:solidFill>
            </a:rPr>
            <a:t>REMOTO H</a:t>
          </a:r>
        </a:p>
      </xdr:txBody>
    </xdr:sp>
    <xdr:clientData/>
  </xdr:oneCellAnchor>
  <xdr:oneCellAnchor>
    <xdr:from>
      <xdr:col>7</xdr:col>
      <xdr:colOff>125188</xdr:colOff>
      <xdr:row>26</xdr:row>
      <xdr:rowOff>61940</xdr:rowOff>
    </xdr:from>
    <xdr:ext cx="7632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7D02B5D-FFE6-4A4C-B824-DBEA2058F5E9}"/>
            </a:ext>
          </a:extLst>
        </xdr:cNvPr>
        <xdr:cNvSpPr txBox="1"/>
      </xdr:nvSpPr>
      <xdr:spPr>
        <a:xfrm>
          <a:off x="4392388" y="4816820"/>
          <a:ext cx="763222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 baseline="0">
              <a:solidFill>
                <a:srgbClr val="FF0000"/>
              </a:solidFill>
            </a:rPr>
            <a:t>POE / TAL</a:t>
          </a:r>
          <a:endParaRPr lang="it-IT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726303</xdr:colOff>
      <xdr:row>17</xdr:row>
      <xdr:rowOff>49654</xdr:rowOff>
    </xdr:from>
    <xdr:ext cx="52302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4B9A5EC-E8F8-4DF8-8677-BEB91500A265}"/>
            </a:ext>
          </a:extLst>
        </xdr:cNvPr>
        <xdr:cNvSpPr txBox="1"/>
      </xdr:nvSpPr>
      <xdr:spPr>
        <a:xfrm>
          <a:off x="3660003" y="3158614"/>
          <a:ext cx="5230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0">
              <a:solidFill>
                <a:sysClr val="windowText" lastClr="000000"/>
              </a:solidFill>
            </a:rPr>
            <a:t>FE/RF</a:t>
          </a:r>
        </a:p>
      </xdr:txBody>
    </xdr:sp>
    <xdr:clientData/>
  </xdr:oneCellAnchor>
  <xdr:oneCellAnchor>
    <xdr:from>
      <xdr:col>6</xdr:col>
      <xdr:colOff>533400</xdr:colOff>
      <xdr:row>19</xdr:row>
      <xdr:rowOff>65314</xdr:rowOff>
    </xdr:from>
    <xdr:ext cx="711605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64D368E-37DC-4CCA-949A-99A8B9B0B9C4}"/>
            </a:ext>
          </a:extLst>
        </xdr:cNvPr>
        <xdr:cNvSpPr txBox="1"/>
      </xdr:nvSpPr>
      <xdr:spPr>
        <a:xfrm>
          <a:off x="5562600" y="3657600"/>
          <a:ext cx="711605" cy="264560"/>
        </a:xfrm>
        <a:prstGeom prst="rect">
          <a:avLst/>
        </a:prstGeom>
        <a:solidFill>
          <a:srgbClr val="002060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100" b="1">
              <a:solidFill>
                <a:schemeClr val="bg1"/>
              </a:solidFill>
            </a:rPr>
            <a:t>SPLITTER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1625533/AppData/Local/Microsoft/Windows/INetCache/Content.Outlook/XBJR2LEC/ZTE_IP_PR_ZTE_MBL_2N+4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L_OUTBAND"/>
      <sheetName val="MBL_INBAND"/>
      <sheetName val="(servizio)"/>
      <sheetName val="(servizio) (2)"/>
    </sheetNames>
    <sheetDataSet>
      <sheetData sheetId="0" refreshError="1"/>
      <sheetData sheetId="1" refreshError="1"/>
      <sheetData sheetId="2">
        <row r="2">
          <cell r="A2">
            <v>8</v>
          </cell>
          <cell r="B2" t="str">
            <v>255.0.0.0</v>
          </cell>
        </row>
        <row r="3">
          <cell r="A3">
            <v>9</v>
          </cell>
          <cell r="B3" t="str">
            <v>255.128.0.0</v>
          </cell>
        </row>
        <row r="4">
          <cell r="A4">
            <v>10</v>
          </cell>
          <cell r="B4" t="str">
            <v>255.192.0.0</v>
          </cell>
        </row>
        <row r="5">
          <cell r="A5">
            <v>11</v>
          </cell>
          <cell r="B5" t="str">
            <v>255.224.0.0</v>
          </cell>
        </row>
        <row r="6">
          <cell r="A6">
            <v>12</v>
          </cell>
          <cell r="B6" t="str">
            <v>255.240.0.0</v>
          </cell>
        </row>
        <row r="7">
          <cell r="A7">
            <v>13</v>
          </cell>
          <cell r="B7" t="str">
            <v>255.248.0.0</v>
          </cell>
        </row>
        <row r="8">
          <cell r="A8">
            <v>14</v>
          </cell>
          <cell r="B8" t="str">
            <v>255.252.0.0</v>
          </cell>
        </row>
        <row r="9">
          <cell r="A9">
            <v>15</v>
          </cell>
          <cell r="B9" t="str">
            <v>255.254.0.0</v>
          </cell>
        </row>
        <row r="10">
          <cell r="A10">
            <v>16</v>
          </cell>
          <cell r="B10" t="str">
            <v>255.255.0.0</v>
          </cell>
        </row>
        <row r="11">
          <cell r="A11">
            <v>17</v>
          </cell>
          <cell r="B11" t="str">
            <v>255.255.128.0</v>
          </cell>
        </row>
        <row r="12">
          <cell r="A12">
            <v>18</v>
          </cell>
          <cell r="B12" t="str">
            <v>255.255.192.0</v>
          </cell>
        </row>
        <row r="13">
          <cell r="A13">
            <v>19</v>
          </cell>
          <cell r="B13" t="str">
            <v>255.255.224.0</v>
          </cell>
        </row>
        <row r="14">
          <cell r="A14">
            <v>20</v>
          </cell>
          <cell r="B14" t="str">
            <v>255.255.240.0</v>
          </cell>
        </row>
        <row r="15">
          <cell r="A15">
            <v>21</v>
          </cell>
          <cell r="B15" t="str">
            <v>255.255.248.0</v>
          </cell>
        </row>
        <row r="16">
          <cell r="A16">
            <v>22</v>
          </cell>
          <cell r="B16" t="str">
            <v>255.255.252.0</v>
          </cell>
        </row>
        <row r="17">
          <cell r="A17">
            <v>23</v>
          </cell>
          <cell r="B17" t="str">
            <v>255.255.254.0</v>
          </cell>
        </row>
        <row r="18">
          <cell r="A18">
            <v>24</v>
          </cell>
          <cell r="B18" t="str">
            <v>255.255.255.0</v>
          </cell>
        </row>
        <row r="19">
          <cell r="A19">
            <v>25</v>
          </cell>
          <cell r="B19" t="str">
            <v>255.255.255.128</v>
          </cell>
        </row>
        <row r="20">
          <cell r="A20">
            <v>26</v>
          </cell>
          <cell r="B20" t="str">
            <v>255.255.255.192</v>
          </cell>
        </row>
        <row r="21">
          <cell r="A21">
            <v>27</v>
          </cell>
          <cell r="B21" t="str">
            <v>255.255.255.224</v>
          </cell>
        </row>
        <row r="22">
          <cell r="A22">
            <v>28</v>
          </cell>
          <cell r="B22" t="str">
            <v>255.255.255.240</v>
          </cell>
        </row>
        <row r="23">
          <cell r="A23">
            <v>29</v>
          </cell>
          <cell r="B23" t="str">
            <v>255.255.255.248</v>
          </cell>
        </row>
        <row r="24">
          <cell r="A24">
            <v>30</v>
          </cell>
          <cell r="B24" t="str">
            <v>255.255.255.252</v>
          </cell>
        </row>
        <row r="25">
          <cell r="A25">
            <v>32</v>
          </cell>
          <cell r="B25" t="str">
            <v>255.255.255.255</v>
          </cell>
        </row>
      </sheetData>
      <sheetData sheetId="3">
        <row r="2">
          <cell r="A2">
            <v>8</v>
          </cell>
          <cell r="B2" t="str">
            <v>255.0.0.0</v>
          </cell>
        </row>
        <row r="3">
          <cell r="A3">
            <v>9</v>
          </cell>
          <cell r="B3" t="str">
            <v>255.128.0.0</v>
          </cell>
        </row>
        <row r="4">
          <cell r="A4">
            <v>10</v>
          </cell>
          <cell r="B4" t="str">
            <v>255.192.0.0</v>
          </cell>
        </row>
        <row r="5">
          <cell r="A5">
            <v>11</v>
          </cell>
          <cell r="B5" t="str">
            <v>255.224.0.0</v>
          </cell>
        </row>
        <row r="6">
          <cell r="A6">
            <v>12</v>
          </cell>
          <cell r="B6" t="str">
            <v>255.240.0.0</v>
          </cell>
        </row>
        <row r="7">
          <cell r="A7">
            <v>13</v>
          </cell>
          <cell r="B7" t="str">
            <v>255.248.0.0</v>
          </cell>
        </row>
        <row r="8">
          <cell r="A8">
            <v>14</v>
          </cell>
          <cell r="B8" t="str">
            <v>255.252.0.0</v>
          </cell>
        </row>
        <row r="9">
          <cell r="A9">
            <v>15</v>
          </cell>
          <cell r="B9" t="str">
            <v>255.254.0.0</v>
          </cell>
        </row>
        <row r="10">
          <cell r="A10">
            <v>16</v>
          </cell>
          <cell r="B10" t="str">
            <v>255.255.0.0</v>
          </cell>
        </row>
        <row r="11">
          <cell r="A11">
            <v>17</v>
          </cell>
          <cell r="B11" t="str">
            <v>255.255.128.0</v>
          </cell>
        </row>
        <row r="12">
          <cell r="A12">
            <v>18</v>
          </cell>
          <cell r="B12" t="str">
            <v>255.255.192.0</v>
          </cell>
        </row>
        <row r="13">
          <cell r="A13">
            <v>19</v>
          </cell>
          <cell r="B13" t="str">
            <v>255.255.224.0</v>
          </cell>
        </row>
        <row r="14">
          <cell r="A14">
            <v>20</v>
          </cell>
          <cell r="B14" t="str">
            <v>255.255.240.0</v>
          </cell>
        </row>
        <row r="15">
          <cell r="A15">
            <v>21</v>
          </cell>
          <cell r="B15" t="str">
            <v>255.255.248.0</v>
          </cell>
        </row>
        <row r="16">
          <cell r="A16">
            <v>22</v>
          </cell>
          <cell r="B16" t="str">
            <v>255.255.252.0</v>
          </cell>
        </row>
        <row r="17">
          <cell r="A17">
            <v>23</v>
          </cell>
          <cell r="B17" t="str">
            <v>255.255.254.0</v>
          </cell>
        </row>
        <row r="18">
          <cell r="A18">
            <v>24</v>
          </cell>
          <cell r="B18" t="str">
            <v>255.255.255.0</v>
          </cell>
        </row>
        <row r="19">
          <cell r="A19">
            <v>25</v>
          </cell>
          <cell r="B19" t="str">
            <v>255.255.255.128</v>
          </cell>
        </row>
        <row r="20">
          <cell r="A20">
            <v>26</v>
          </cell>
          <cell r="B20" t="str">
            <v>255.255.255.192</v>
          </cell>
        </row>
        <row r="21">
          <cell r="A21">
            <v>27</v>
          </cell>
          <cell r="B21" t="str">
            <v>255.255.255.224</v>
          </cell>
        </row>
        <row r="22">
          <cell r="A22">
            <v>28</v>
          </cell>
          <cell r="B22" t="str">
            <v>255.255.255.240</v>
          </cell>
        </row>
        <row r="23">
          <cell r="A23">
            <v>29</v>
          </cell>
          <cell r="B23" t="str">
            <v>255.255.255.248</v>
          </cell>
        </row>
        <row r="24">
          <cell r="A24">
            <v>30</v>
          </cell>
          <cell r="B24" t="str">
            <v>255.255.255.252</v>
          </cell>
        </row>
        <row r="25">
          <cell r="A25">
            <v>32</v>
          </cell>
          <cell r="B25" t="str">
            <v>255.255.255.255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7"/>
  <sheetViews>
    <sheetView workbookViewId="0">
      <selection activeCell="A11" sqref="A11"/>
    </sheetView>
  </sheetViews>
  <sheetFormatPr defaultRowHeight="14.4" x14ac:dyDescent="0.3"/>
  <cols>
    <col min="1" max="1" width="110.5546875" customWidth="1"/>
  </cols>
  <sheetData>
    <row r="6" spans="1:1" x14ac:dyDescent="0.3">
      <c r="A6" s="246" t="s">
        <v>174</v>
      </c>
    </row>
    <row r="7" spans="1:1" ht="85.2" customHeight="1" x14ac:dyDescent="0.3">
      <c r="A7" s="245" t="s">
        <v>173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workbookViewId="0">
      <selection activeCell="E28" sqref="E28:E35"/>
    </sheetView>
  </sheetViews>
  <sheetFormatPr defaultRowHeight="14.4" x14ac:dyDescent="0.3"/>
  <cols>
    <col min="8" max="8" width="25.5546875" customWidth="1"/>
    <col min="10" max="10" width="16" bestFit="1" customWidth="1"/>
    <col min="12" max="12" width="16" bestFit="1" customWidth="1"/>
    <col min="14" max="14" width="16" bestFit="1" customWidth="1"/>
    <col min="16" max="16" width="16" bestFit="1" customWidth="1"/>
    <col min="18" max="18" width="16" bestFit="1" customWidth="1"/>
  </cols>
  <sheetData>
    <row r="1" spans="1:22" x14ac:dyDescent="0.3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2" t="s">
        <v>0</v>
      </c>
      <c r="M1" s="32"/>
      <c r="N1" s="32"/>
      <c r="O1" s="32"/>
      <c r="P1" s="32"/>
      <c r="Q1" s="32"/>
      <c r="R1" s="32"/>
      <c r="S1" s="32"/>
      <c r="T1" s="33"/>
      <c r="U1" s="33"/>
      <c r="V1" s="33"/>
    </row>
    <row r="2" spans="1:22" x14ac:dyDescent="0.3">
      <c r="A2" s="33"/>
      <c r="B2" s="33"/>
      <c r="C2" s="33"/>
      <c r="D2" s="33"/>
      <c r="E2" s="34" t="s">
        <v>1</v>
      </c>
      <c r="F2" s="33"/>
      <c r="G2" s="34" t="s">
        <v>2</v>
      </c>
      <c r="H2" s="282"/>
      <c r="I2" s="282"/>
      <c r="J2" s="28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3">
      <c r="A3" s="33"/>
      <c r="B3" s="33"/>
      <c r="C3" s="33"/>
      <c r="D3" s="34" t="s">
        <v>3</v>
      </c>
      <c r="E3" s="34" t="s">
        <v>3</v>
      </c>
      <c r="F3" s="34" t="s">
        <v>3</v>
      </c>
      <c r="G3" s="33"/>
      <c r="H3" s="282"/>
      <c r="I3" s="282"/>
      <c r="J3" s="282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3">
      <c r="A4" s="33"/>
      <c r="B4" s="35" t="s">
        <v>4</v>
      </c>
      <c r="C4" s="36">
        <v>18</v>
      </c>
      <c r="D4" s="37">
        <v>21</v>
      </c>
      <c r="E4" s="37">
        <v>5</v>
      </c>
      <c r="F4" s="37">
        <v>240</v>
      </c>
      <c r="G4" s="38">
        <v>29</v>
      </c>
      <c r="H4" s="282"/>
      <c r="I4" s="282"/>
      <c r="J4" s="282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3">
      <c r="A5" s="33"/>
      <c r="B5" s="39"/>
      <c r="C5" s="33"/>
      <c r="D5" s="33"/>
      <c r="E5" s="33"/>
      <c r="F5" s="33"/>
      <c r="G5" s="33"/>
      <c r="H5" s="282"/>
      <c r="I5" s="282"/>
      <c r="J5" s="282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3">
      <c r="A6" s="33"/>
      <c r="B6" s="35" t="s">
        <v>5</v>
      </c>
      <c r="C6" s="40">
        <v>18</v>
      </c>
      <c r="D6" s="41">
        <v>21</v>
      </c>
      <c r="E6" s="41">
        <v>133</v>
      </c>
      <c r="F6" s="41">
        <v>240</v>
      </c>
      <c r="G6" s="42">
        <v>28</v>
      </c>
      <c r="H6" s="282"/>
      <c r="I6" s="282"/>
      <c r="J6" s="282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2" x14ac:dyDescent="0.3">
      <c r="A7" s="33"/>
      <c r="B7" s="33"/>
      <c r="C7" s="33"/>
      <c r="D7" s="33"/>
      <c r="E7" s="33"/>
      <c r="F7" s="33"/>
      <c r="G7" s="33"/>
      <c r="H7" s="282"/>
      <c r="I7" s="282"/>
      <c r="J7" s="28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 x14ac:dyDescent="0.3">
      <c r="A8" s="33"/>
      <c r="B8" s="33"/>
      <c r="C8" s="33"/>
      <c r="D8" s="33"/>
      <c r="E8" s="33"/>
      <c r="F8" s="33"/>
      <c r="G8" s="33"/>
      <c r="H8" s="282"/>
      <c r="I8" s="282"/>
      <c r="J8" s="28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spans="1:22" x14ac:dyDescent="0.3">
      <c r="A10" s="33"/>
      <c r="B10" s="33"/>
      <c r="C10" s="33"/>
      <c r="D10" s="33"/>
      <c r="E10" s="33"/>
      <c r="F10" s="33"/>
      <c r="G10" s="33"/>
      <c r="H10" s="43" t="s">
        <v>3</v>
      </c>
      <c r="I10" s="43" t="s">
        <v>6</v>
      </c>
      <c r="J10" s="43" t="s">
        <v>3</v>
      </c>
      <c r="K10" s="33"/>
      <c r="L10" s="43" t="s">
        <v>3</v>
      </c>
      <c r="M10" s="43" t="s">
        <v>7</v>
      </c>
      <c r="N10" s="43" t="s">
        <v>3</v>
      </c>
      <c r="O10" s="33"/>
      <c r="P10" s="43" t="s">
        <v>3</v>
      </c>
      <c r="Q10" s="43" t="s">
        <v>8</v>
      </c>
      <c r="R10" s="43" t="s">
        <v>3</v>
      </c>
      <c r="S10" s="33"/>
      <c r="T10" s="33"/>
      <c r="U10" s="33"/>
      <c r="V10" s="33"/>
    </row>
    <row r="11" spans="1:22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 x14ac:dyDescent="0.3">
      <c r="A12" s="33"/>
      <c r="B12" s="283" t="str">
        <f>CONCATENATE($C$4,".",$D$4,".",$E$4,".",$F$4,"/",$G$4)</f>
        <v>18.21.5.240/29</v>
      </c>
      <c r="C12" s="96" t="s">
        <v>9</v>
      </c>
      <c r="D12" s="97">
        <f>F4</f>
        <v>240</v>
      </c>
      <c r="E12" s="98" t="s">
        <v>10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1:22" x14ac:dyDescent="0.3">
      <c r="A13" s="33"/>
      <c r="B13" s="284"/>
      <c r="C13" s="96" t="s">
        <v>11</v>
      </c>
      <c r="D13" s="97">
        <f>D12+1</f>
        <v>241</v>
      </c>
      <c r="E13" s="98" t="s">
        <v>12</v>
      </c>
      <c r="F13" s="33"/>
      <c r="G13" s="39" t="s">
        <v>13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x14ac:dyDescent="0.3">
      <c r="A14" s="33"/>
      <c r="B14" s="284"/>
      <c r="C14" s="96" t="s">
        <v>14</v>
      </c>
      <c r="D14" s="97">
        <f t="shared" ref="D14:D19" si="0">D13+1</f>
        <v>242</v>
      </c>
      <c r="E14" s="98" t="s">
        <v>15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spans="1:22" x14ac:dyDescent="0.3">
      <c r="A15" s="33"/>
      <c r="B15" s="284"/>
      <c r="C15" s="96" t="s">
        <v>16</v>
      </c>
      <c r="D15" s="97">
        <f t="shared" si="0"/>
        <v>243</v>
      </c>
      <c r="E15" s="98" t="s">
        <v>15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1:22" x14ac:dyDescent="0.3">
      <c r="A16" s="33"/>
      <c r="B16" s="284"/>
      <c r="C16" s="96" t="s">
        <v>17</v>
      </c>
      <c r="D16" s="99">
        <f t="shared" si="0"/>
        <v>244</v>
      </c>
      <c r="E16" s="100" t="s">
        <v>18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x14ac:dyDescent="0.3">
      <c r="A17" s="33"/>
      <c r="B17" s="284"/>
      <c r="C17" s="96" t="s">
        <v>19</v>
      </c>
      <c r="D17" s="97">
        <f t="shared" si="0"/>
        <v>245</v>
      </c>
      <c r="E17" s="98" t="s">
        <v>20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x14ac:dyDescent="0.3">
      <c r="A18" s="33"/>
      <c r="B18" s="284"/>
      <c r="C18" s="96" t="s">
        <v>21</v>
      </c>
      <c r="D18" s="97">
        <f t="shared" si="0"/>
        <v>246</v>
      </c>
      <c r="E18" s="98" t="s">
        <v>20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x14ac:dyDescent="0.3">
      <c r="A19" s="33"/>
      <c r="B19" s="285"/>
      <c r="C19" s="96" t="s">
        <v>22</v>
      </c>
      <c r="D19" s="97">
        <f t="shared" si="0"/>
        <v>247</v>
      </c>
      <c r="E19" s="98" t="s">
        <v>23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spans="1:22" x14ac:dyDescent="0.3">
      <c r="A20" s="33"/>
      <c r="B20" s="33"/>
      <c r="C20" s="33"/>
      <c r="D20" s="33"/>
      <c r="E20" s="33"/>
      <c r="F20" s="33"/>
      <c r="G20" s="33"/>
      <c r="H20" s="279" t="s">
        <v>24</v>
      </c>
      <c r="I20" s="280"/>
      <c r="J20" s="280"/>
      <c r="K20" s="280"/>
      <c r="L20" s="280"/>
      <c r="M20" s="280"/>
      <c r="N20" s="280"/>
      <c r="O20" s="280"/>
      <c r="P20" s="280"/>
      <c r="Q20" s="280"/>
      <c r="R20" s="281"/>
      <c r="S20" s="33"/>
      <c r="T20" s="33"/>
      <c r="U20" s="33"/>
      <c r="V20" s="33"/>
    </row>
    <row r="21" spans="1:22" x14ac:dyDescent="0.3">
      <c r="A21" s="33"/>
      <c r="B21" s="276" t="str">
        <f>CONCATENATE($C$6,".",$D$6,".",$E$6,".",$F$6,"/",$G$6)</f>
        <v>18.21.133.240/28</v>
      </c>
      <c r="C21" s="96" t="s">
        <v>9</v>
      </c>
      <c r="D21" s="97">
        <f>F6</f>
        <v>240</v>
      </c>
      <c r="E21" s="98" t="s">
        <v>25</v>
      </c>
      <c r="F21" s="33"/>
      <c r="G21" s="33"/>
      <c r="H21" s="95" t="str">
        <f>CONCATENATE($C$6,".",$D$6,".",$E$6,".",$F$6+1)</f>
        <v>18.21.133.241</v>
      </c>
      <c r="I21" s="33"/>
      <c r="J21" s="109" t="str">
        <f>CONCATENATE($C$6,".",$D$6,".",$E$6,".",$F$6+2)</f>
        <v>18.21.133.242</v>
      </c>
      <c r="K21" s="33"/>
      <c r="L21" s="109" t="str">
        <f>CONCATENATE($C$6,".",$D$6,".",$E$6,".",$F$6+3)</f>
        <v>18.21.133.243</v>
      </c>
      <c r="M21" s="33"/>
      <c r="N21" s="109" t="str">
        <f>CONCATENATE($C$6,".",$D$6,".",$E$6,".",$F$6+4)</f>
        <v>18.21.133.244</v>
      </c>
      <c r="O21" s="33"/>
      <c r="P21" s="109" t="str">
        <f>CONCATENATE($C$6,".",$D$6,".",$E$6,".",$F$6+5)</f>
        <v>18.21.133.245</v>
      </c>
      <c r="Q21" s="33"/>
      <c r="R21" s="109" t="str">
        <f>CONCATENATE($C$6,".",$D$6,".",$E$6,".",$F$6+6)</f>
        <v>18.21.133.246</v>
      </c>
      <c r="S21" s="33"/>
      <c r="T21" s="33"/>
      <c r="U21" s="33"/>
      <c r="V21" s="33"/>
    </row>
    <row r="22" spans="1:22" x14ac:dyDescent="0.3">
      <c r="A22" s="33"/>
      <c r="B22" s="277"/>
      <c r="C22" s="96" t="s">
        <v>11</v>
      </c>
      <c r="D22" s="97">
        <f>F6+1</f>
        <v>241</v>
      </c>
      <c r="E22" s="100" t="s">
        <v>26</v>
      </c>
      <c r="F22" s="33"/>
      <c r="G22" s="33"/>
      <c r="H22" s="9" t="str">
        <f>VLOOKUP($G$6+4,'(servizio)'!$A$2:$B$25,2)</f>
        <v>255.255.255.255</v>
      </c>
      <c r="I22" s="33"/>
      <c r="J22" s="44" t="str">
        <f>VLOOKUP($G$6+4,'(servizio)'!$A$2:$B$25,2)</f>
        <v>255.255.255.255</v>
      </c>
      <c r="K22" s="33"/>
      <c r="L22" s="44" t="str">
        <f>VLOOKUP($G$6+4,'(servizio)'!$A$2:$B$25,2)</f>
        <v>255.255.255.255</v>
      </c>
      <c r="M22" s="33"/>
      <c r="N22" s="44" t="str">
        <f>VLOOKUP($G$6+4,'(servizio)'!$A$2:$B$25,2)</f>
        <v>255.255.255.255</v>
      </c>
      <c r="O22" s="33"/>
      <c r="P22" s="44" t="str">
        <f>VLOOKUP($G$6+4,'(servizio)'!$A$2:$B$25,2)</f>
        <v>255.255.255.255</v>
      </c>
      <c r="Q22" s="33"/>
      <c r="R22" s="44" t="str">
        <f>VLOOKUP($G$6+4,'(servizio)'!$A$2:$B$25,2)</f>
        <v>255.255.255.255</v>
      </c>
      <c r="S22" s="33"/>
      <c r="T22" s="33"/>
      <c r="U22" s="33"/>
      <c r="V22" s="33"/>
    </row>
    <row r="23" spans="1:22" x14ac:dyDescent="0.3">
      <c r="A23" s="33"/>
      <c r="B23" s="277"/>
      <c r="C23" s="96" t="s">
        <v>14</v>
      </c>
      <c r="D23" s="97">
        <f>F6+2</f>
        <v>242</v>
      </c>
      <c r="E23" s="98" t="s">
        <v>27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x14ac:dyDescent="0.3">
      <c r="A24" s="33"/>
      <c r="B24" s="277"/>
      <c r="C24" s="96" t="s">
        <v>16</v>
      </c>
      <c r="D24" s="97">
        <f>F6+3</f>
        <v>243</v>
      </c>
      <c r="E24" s="98" t="s">
        <v>28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:22" x14ac:dyDescent="0.3">
      <c r="A25" s="33"/>
      <c r="B25" s="277"/>
      <c r="C25" s="96" t="s">
        <v>17</v>
      </c>
      <c r="D25" s="97">
        <f>F6+4</f>
        <v>244</v>
      </c>
      <c r="E25" s="98" t="s">
        <v>29</v>
      </c>
      <c r="F25" s="33"/>
      <c r="G25" s="10" t="s">
        <v>1</v>
      </c>
      <c r="H25" s="17" t="str">
        <f>CONCATENATE($C$4,".",$D$4,".",$E$4,".",$F$4,"/",$G$4)</f>
        <v>18.21.5.240/29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x14ac:dyDescent="0.3">
      <c r="A26" s="33"/>
      <c r="B26" s="277"/>
      <c r="C26" s="96" t="s">
        <v>19</v>
      </c>
      <c r="D26" s="97">
        <f>F6+5</f>
        <v>245</v>
      </c>
      <c r="E26" s="98" t="s">
        <v>30</v>
      </c>
      <c r="F26" s="33"/>
      <c r="G26" s="10" t="s">
        <v>31</v>
      </c>
      <c r="H26" s="108" t="str">
        <f>CONCATENATE($C$4,".",$D$4,".",$E$4,".",$F$4+4)</f>
        <v>18.21.5.244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 x14ac:dyDescent="0.3">
      <c r="A27" s="33"/>
      <c r="B27" s="277"/>
      <c r="C27" s="96" t="s">
        <v>21</v>
      </c>
      <c r="D27" s="97">
        <f>F6+6</f>
        <v>246</v>
      </c>
      <c r="E27" s="98" t="s">
        <v>32</v>
      </c>
      <c r="F27" s="33"/>
      <c r="G27" s="10" t="s">
        <v>33</v>
      </c>
      <c r="H27" s="9" t="str">
        <f>VLOOKUP(G4,'(servizio)'!$A$2:$B$24,2)</f>
        <v>255.255.255.248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x14ac:dyDescent="0.3">
      <c r="A28" s="33"/>
      <c r="B28" s="277"/>
      <c r="C28" s="96" t="s">
        <v>22</v>
      </c>
      <c r="D28" s="96">
        <f>F6+7</f>
        <v>247</v>
      </c>
      <c r="E28" s="98" t="s">
        <v>34</v>
      </c>
      <c r="F28" s="33"/>
      <c r="G28" s="10" t="s">
        <v>35</v>
      </c>
      <c r="H28" s="9" t="str">
        <f>CONCATENATE($C$4,".",$D$4,".",$E$4,".",$F$4+1,"/",$G$4)</f>
        <v>18.21.5.241/29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spans="1:22" x14ac:dyDescent="0.3">
      <c r="A29" s="33"/>
      <c r="B29" s="277"/>
      <c r="C29" s="96" t="s">
        <v>36</v>
      </c>
      <c r="D29" s="96">
        <f>F6+8</f>
        <v>248</v>
      </c>
      <c r="E29" s="98" t="s">
        <v>34</v>
      </c>
      <c r="F29" s="33"/>
      <c r="G29" s="10" t="s">
        <v>37</v>
      </c>
      <c r="H29" s="9" t="str">
        <f>CONCATENATE($C$6,".",$D$6,".",$E$6,".",$F$6+1)</f>
        <v>18.21.133.241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spans="1:22" x14ac:dyDescent="0.3">
      <c r="A30" s="33"/>
      <c r="B30" s="277"/>
      <c r="C30" s="96" t="s">
        <v>38</v>
      </c>
      <c r="D30" s="96">
        <f>F6+9</f>
        <v>249</v>
      </c>
      <c r="E30" s="98" t="s">
        <v>34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spans="1:22" x14ac:dyDescent="0.3">
      <c r="A31" s="33"/>
      <c r="B31" s="277"/>
      <c r="C31" s="96" t="s">
        <v>39</v>
      </c>
      <c r="D31" s="96">
        <f>F6+10</f>
        <v>250</v>
      </c>
      <c r="E31" s="98" t="s">
        <v>34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 x14ac:dyDescent="0.3">
      <c r="A32" s="33"/>
      <c r="B32" s="277"/>
      <c r="C32" s="96" t="s">
        <v>40</v>
      </c>
      <c r="D32" s="96">
        <f>F6+11</f>
        <v>251</v>
      </c>
      <c r="E32" s="98" t="s">
        <v>34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spans="1:22" x14ac:dyDescent="0.3">
      <c r="A33" s="33"/>
      <c r="B33" s="277"/>
      <c r="C33" s="96" t="s">
        <v>41</v>
      </c>
      <c r="D33" s="96">
        <f>F6+12</f>
        <v>252</v>
      </c>
      <c r="E33" s="98" t="s">
        <v>34</v>
      </c>
      <c r="F33" s="33"/>
      <c r="G33" s="33"/>
      <c r="H33" s="279" t="s">
        <v>42</v>
      </c>
      <c r="I33" s="280"/>
      <c r="J33" s="280"/>
      <c r="K33" s="280"/>
      <c r="L33" s="280"/>
      <c r="M33" s="280"/>
      <c r="N33" s="280"/>
      <c r="O33" s="280"/>
      <c r="P33" s="280"/>
      <c r="Q33" s="280"/>
      <c r="R33" s="281"/>
      <c r="S33" s="33"/>
      <c r="T33" s="33"/>
      <c r="U33" s="33"/>
      <c r="V33" s="33"/>
    </row>
    <row r="34" spans="1:22" x14ac:dyDescent="0.3">
      <c r="A34" s="33"/>
      <c r="B34" s="277"/>
      <c r="C34" s="96" t="s">
        <v>43</v>
      </c>
      <c r="D34" s="96">
        <f>F6+13</f>
        <v>253</v>
      </c>
      <c r="E34" s="98" t="s">
        <v>34</v>
      </c>
      <c r="F34" s="33"/>
      <c r="G34" s="39"/>
      <c r="H34" s="45" t="s">
        <v>44</v>
      </c>
      <c r="I34" s="33"/>
      <c r="J34" s="45" t="s">
        <v>44</v>
      </c>
      <c r="K34" s="33"/>
      <c r="L34" s="45" t="s">
        <v>44</v>
      </c>
      <c r="M34" s="33"/>
      <c r="N34" s="45" t="s">
        <v>44</v>
      </c>
      <c r="O34" s="33"/>
      <c r="P34" s="45" t="s">
        <v>44</v>
      </c>
      <c r="Q34" s="33"/>
      <c r="R34" s="45" t="s">
        <v>44</v>
      </c>
      <c r="S34" s="33"/>
      <c r="T34" s="33"/>
      <c r="U34" s="33"/>
      <c r="V34" s="33"/>
    </row>
    <row r="35" spans="1:22" x14ac:dyDescent="0.3">
      <c r="A35" s="33"/>
      <c r="B35" s="277"/>
      <c r="C35" s="96" t="s">
        <v>45</v>
      </c>
      <c r="D35" s="96">
        <f>F6+14</f>
        <v>254</v>
      </c>
      <c r="E35" s="98" t="s">
        <v>34</v>
      </c>
      <c r="F35" s="33"/>
      <c r="G35" s="266"/>
      <c r="H35" s="46" t="s">
        <v>46</v>
      </c>
      <c r="I35" s="33"/>
      <c r="J35" s="46" t="s">
        <v>46</v>
      </c>
      <c r="K35" s="33"/>
      <c r="L35" s="46" t="s">
        <v>46</v>
      </c>
      <c r="M35" s="33"/>
      <c r="N35" s="46" t="s">
        <v>46</v>
      </c>
      <c r="O35" s="33"/>
      <c r="P35" s="46" t="s">
        <v>46</v>
      </c>
      <c r="Q35" s="33"/>
      <c r="R35" s="46" t="s">
        <v>46</v>
      </c>
      <c r="S35" s="33"/>
      <c r="T35" s="33"/>
      <c r="U35" s="33"/>
      <c r="V35" s="33"/>
    </row>
    <row r="36" spans="1:22" x14ac:dyDescent="0.3">
      <c r="A36" s="33"/>
      <c r="B36" s="278"/>
      <c r="C36" s="96" t="s">
        <v>47</v>
      </c>
      <c r="D36" s="96">
        <f>F6+15</f>
        <v>255</v>
      </c>
      <c r="E36" s="98" t="s">
        <v>48</v>
      </c>
      <c r="F36" s="33"/>
      <c r="G36" s="266"/>
      <c r="H36" s="47" t="s">
        <v>49</v>
      </c>
      <c r="I36" s="33"/>
      <c r="J36" s="47" t="s">
        <v>49</v>
      </c>
      <c r="K36" s="33"/>
      <c r="L36" s="47" t="s">
        <v>49</v>
      </c>
      <c r="M36" s="33"/>
      <c r="N36" s="47" t="s">
        <v>49</v>
      </c>
      <c r="O36" s="33"/>
      <c r="P36" s="47" t="s">
        <v>49</v>
      </c>
      <c r="Q36" s="33"/>
      <c r="R36" s="47" t="s">
        <v>49</v>
      </c>
      <c r="S36" s="33"/>
      <c r="T36" s="33"/>
      <c r="U36" s="33"/>
      <c r="V36" s="33"/>
    </row>
    <row r="37" spans="1:22" x14ac:dyDescent="0.3">
      <c r="A37" s="33"/>
      <c r="B37" s="33"/>
      <c r="C37" s="33"/>
      <c r="D37" s="33"/>
      <c r="E37" s="33"/>
      <c r="F37" s="33"/>
      <c r="G37" s="266"/>
      <c r="H37" s="45" t="s">
        <v>50</v>
      </c>
      <c r="I37" s="33"/>
      <c r="J37" s="45" t="s">
        <v>50</v>
      </c>
      <c r="K37" s="33"/>
      <c r="L37" s="45" t="s">
        <v>50</v>
      </c>
      <c r="M37" s="33"/>
      <c r="N37" s="45" t="s">
        <v>50</v>
      </c>
      <c r="O37" s="33"/>
      <c r="P37" s="45" t="s">
        <v>50</v>
      </c>
      <c r="Q37" s="33"/>
      <c r="R37" s="45" t="s">
        <v>50</v>
      </c>
      <c r="S37" s="33"/>
      <c r="T37" s="33"/>
      <c r="U37" s="33"/>
      <c r="V37" s="33"/>
    </row>
    <row r="38" spans="1:22" x14ac:dyDescent="0.3">
      <c r="A38" s="33"/>
      <c r="B38" s="33"/>
      <c r="C38" s="33"/>
      <c r="D38" s="33"/>
      <c r="E38" s="33"/>
      <c r="F38" s="33"/>
      <c r="G38" s="266"/>
      <c r="H38" s="48" t="s">
        <v>51</v>
      </c>
      <c r="I38" s="33"/>
      <c r="J38" s="48" t="s">
        <v>51</v>
      </c>
      <c r="K38" s="33"/>
      <c r="L38" s="48" t="s">
        <v>51</v>
      </c>
      <c r="M38" s="33"/>
      <c r="N38" s="48" t="s">
        <v>51</v>
      </c>
      <c r="O38" s="33"/>
      <c r="P38" s="48" t="s">
        <v>51</v>
      </c>
      <c r="Q38" s="33"/>
      <c r="R38" s="48" t="s">
        <v>51</v>
      </c>
      <c r="S38" s="33"/>
      <c r="T38" s="33"/>
      <c r="U38" s="33"/>
      <c r="V38" s="33"/>
    </row>
    <row r="39" spans="1:22" x14ac:dyDescent="0.3">
      <c r="A39" s="33"/>
      <c r="B39" s="33"/>
      <c r="C39" s="33"/>
      <c r="D39" s="33"/>
      <c r="E39" s="33"/>
      <c r="F39" s="33"/>
      <c r="G39" s="39"/>
      <c r="H39" s="49" t="s">
        <v>52</v>
      </c>
      <c r="I39" s="33"/>
      <c r="J39" s="49" t="s">
        <v>52</v>
      </c>
      <c r="K39" s="33"/>
      <c r="L39" s="49" t="s">
        <v>52</v>
      </c>
      <c r="M39" s="33"/>
      <c r="N39" s="49" t="s">
        <v>52</v>
      </c>
      <c r="O39" s="33"/>
      <c r="P39" s="49" t="s">
        <v>52</v>
      </c>
      <c r="Q39" s="33"/>
      <c r="R39" s="49" t="s">
        <v>52</v>
      </c>
      <c r="S39" s="33"/>
      <c r="T39" s="33"/>
      <c r="U39" s="33"/>
      <c r="V39" s="33"/>
    </row>
    <row r="40" spans="1:22" x14ac:dyDescent="0.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1:22" x14ac:dyDescent="0.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1:22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x14ac:dyDescent="0.3">
      <c r="A43" s="33"/>
      <c r="B43" s="267"/>
      <c r="C43" s="267"/>
      <c r="D43" s="267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x14ac:dyDescent="0.3">
      <c r="A44" s="33"/>
      <c r="B44" s="267"/>
      <c r="C44" s="267"/>
      <c r="D44" s="267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spans="1:22" x14ac:dyDescent="0.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spans="1:22" x14ac:dyDescent="0.3">
      <c r="A46" s="33"/>
      <c r="B46" s="34" t="s">
        <v>3</v>
      </c>
      <c r="C46" s="34" t="s">
        <v>3</v>
      </c>
      <c r="D46" s="34" t="s">
        <v>3</v>
      </c>
      <c r="E46" s="34" t="s">
        <v>3</v>
      </c>
      <c r="F46" s="33"/>
      <c r="G46" s="268"/>
      <c r="H46" s="269" t="s">
        <v>53</v>
      </c>
      <c r="I46" s="270"/>
      <c r="J46" s="33"/>
      <c r="K46" s="35"/>
      <c r="L46" s="35"/>
      <c r="M46" s="50"/>
      <c r="N46" s="50"/>
      <c r="O46" s="33"/>
      <c r="P46" s="33"/>
      <c r="Q46" s="33"/>
      <c r="R46" s="33"/>
      <c r="S46" s="33"/>
      <c r="T46" s="33"/>
      <c r="U46" s="33"/>
      <c r="V46" s="33"/>
    </row>
    <row r="47" spans="1:22" x14ac:dyDescent="0.3">
      <c r="A47" s="33"/>
      <c r="B47" s="33"/>
      <c r="C47" s="33"/>
      <c r="D47" s="33"/>
      <c r="E47" s="33"/>
      <c r="F47" s="33"/>
      <c r="G47" s="268"/>
      <c r="H47" s="51" t="s">
        <v>54</v>
      </c>
      <c r="I47" s="52" t="s">
        <v>55</v>
      </c>
      <c r="J47" s="33"/>
      <c r="K47" s="50"/>
      <c r="L47" s="50"/>
      <c r="M47" s="50"/>
      <c r="N47" s="50"/>
      <c r="O47" s="33"/>
      <c r="P47" s="33"/>
      <c r="Q47" s="33"/>
      <c r="R47" s="33"/>
      <c r="S47" s="33"/>
      <c r="T47" s="33"/>
      <c r="U47" s="33"/>
      <c r="V47" s="33"/>
    </row>
    <row r="48" spans="1:22" x14ac:dyDescent="0.3">
      <c r="A48" s="33"/>
      <c r="B48" s="33"/>
      <c r="C48" s="33"/>
      <c r="D48" s="33"/>
      <c r="E48" s="33"/>
      <c r="F48" s="33"/>
      <c r="G48" s="268"/>
      <c r="H48" s="53" t="s">
        <v>56</v>
      </c>
      <c r="I48" s="54" t="s">
        <v>57</v>
      </c>
      <c r="J48" s="33"/>
      <c r="K48" s="50"/>
      <c r="L48" s="50"/>
      <c r="M48" s="50"/>
      <c r="N48" s="50"/>
      <c r="O48" s="33"/>
      <c r="P48" s="33"/>
      <c r="Q48" s="33"/>
      <c r="R48" s="33"/>
      <c r="S48" s="33"/>
      <c r="T48" s="33"/>
      <c r="U48" s="33"/>
      <c r="V48" s="33"/>
    </row>
    <row r="49" spans="1:22" x14ac:dyDescent="0.3">
      <c r="A49" s="33"/>
      <c r="B49" s="271" t="s">
        <v>3</v>
      </c>
      <c r="C49" s="272" t="s">
        <v>3</v>
      </c>
      <c r="D49" s="273" t="s">
        <v>3</v>
      </c>
      <c r="E49" s="55" t="s">
        <v>3</v>
      </c>
      <c r="F49" s="55" t="s">
        <v>3</v>
      </c>
      <c r="G49" s="33"/>
      <c r="H49" s="39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spans="1:22" x14ac:dyDescent="0.3">
      <c r="A50" s="33"/>
      <c r="B50" s="271"/>
      <c r="C50" s="272"/>
      <c r="D50" s="273"/>
      <c r="E50" s="55" t="s">
        <v>3</v>
      </c>
      <c r="F50" s="55" t="s">
        <v>3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1:22" x14ac:dyDescent="0.3">
      <c r="A51" s="33"/>
      <c r="B51" s="271"/>
      <c r="C51" s="272"/>
      <c r="D51" s="273"/>
      <c r="E51" s="55" t="s">
        <v>3</v>
      </c>
      <c r="F51" s="55" t="s">
        <v>3</v>
      </c>
      <c r="G51" s="34" t="s">
        <v>3</v>
      </c>
      <c r="H51" s="56" t="s">
        <v>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spans="1:22" x14ac:dyDescent="0.3">
      <c r="A52" s="33"/>
      <c r="B52" s="271"/>
      <c r="C52" s="272"/>
      <c r="D52" s="273" t="s">
        <v>3</v>
      </c>
      <c r="E52" s="55" t="s">
        <v>3</v>
      </c>
      <c r="F52" s="34" t="s">
        <v>3</v>
      </c>
      <c r="G52" s="34" t="s">
        <v>3</v>
      </c>
      <c r="H52" s="56" t="s">
        <v>3</v>
      </c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1:22" x14ac:dyDescent="0.3">
      <c r="A53" s="33"/>
      <c r="B53" s="271"/>
      <c r="C53" s="272"/>
      <c r="D53" s="273"/>
      <c r="E53" s="55" t="s">
        <v>3</v>
      </c>
      <c r="F53" s="57" t="s">
        <v>3</v>
      </c>
      <c r="G53" s="34" t="s">
        <v>3</v>
      </c>
      <c r="H53" s="274" t="s">
        <v>3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1:22" x14ac:dyDescent="0.3">
      <c r="A54" s="33"/>
      <c r="B54" s="271"/>
      <c r="C54" s="272"/>
      <c r="D54" s="273"/>
      <c r="E54" s="55" t="s">
        <v>3</v>
      </c>
      <c r="F54" s="55" t="s">
        <v>3</v>
      </c>
      <c r="G54" s="34" t="s">
        <v>3</v>
      </c>
      <c r="H54" s="274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1:22" x14ac:dyDescent="0.3">
      <c r="A55" s="33"/>
      <c r="B55" s="271"/>
      <c r="C55" s="272"/>
      <c r="D55" s="273"/>
      <c r="E55" s="55" t="s">
        <v>3</v>
      </c>
      <c r="F55" s="55" t="s">
        <v>3</v>
      </c>
      <c r="G55" s="56" t="s">
        <v>3</v>
      </c>
      <c r="H55" s="274" t="s">
        <v>3</v>
      </c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1:22" x14ac:dyDescent="0.3">
      <c r="A56" s="33"/>
      <c r="B56" s="271"/>
      <c r="C56" s="273" t="s">
        <v>3</v>
      </c>
      <c r="D56" s="273" t="s">
        <v>3</v>
      </c>
      <c r="E56" s="55" t="s">
        <v>3</v>
      </c>
      <c r="F56" s="55" t="s">
        <v>3</v>
      </c>
      <c r="G56" s="56" t="s">
        <v>3</v>
      </c>
      <c r="H56" s="27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x14ac:dyDescent="0.3">
      <c r="A57" s="33"/>
      <c r="B57" s="271"/>
      <c r="C57" s="273"/>
      <c r="D57" s="273"/>
      <c r="E57" s="55" t="s">
        <v>3</v>
      </c>
      <c r="F57" s="55" t="s">
        <v>3</v>
      </c>
      <c r="G57" s="55" t="s">
        <v>3</v>
      </c>
      <c r="H57" s="275" t="s">
        <v>3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 x14ac:dyDescent="0.3">
      <c r="A58" s="33"/>
      <c r="B58" s="271"/>
      <c r="C58" s="273"/>
      <c r="D58" s="273"/>
      <c r="E58" s="55" t="s">
        <v>3</v>
      </c>
      <c r="F58" s="55" t="s">
        <v>3</v>
      </c>
      <c r="G58" s="55" t="s">
        <v>3</v>
      </c>
      <c r="H58" s="275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 x14ac:dyDescent="0.3">
      <c r="A59" s="33"/>
      <c r="B59" s="271"/>
      <c r="C59" s="273"/>
      <c r="D59" s="273"/>
      <c r="E59" s="55" t="s">
        <v>3</v>
      </c>
      <c r="F59" s="55" t="s">
        <v>3</v>
      </c>
      <c r="G59" s="55" t="s">
        <v>3</v>
      </c>
      <c r="H59" s="275"/>
      <c r="I59" s="33"/>
      <c r="J59" s="33"/>
      <c r="K59" s="33"/>
      <c r="L59" s="33"/>
      <c r="M59" s="33"/>
      <c r="N59" s="33"/>
      <c r="O59" s="33"/>
      <c r="P59" s="39"/>
      <c r="Q59" s="33"/>
      <c r="R59" s="33"/>
      <c r="S59" s="33"/>
      <c r="T59" s="33"/>
      <c r="U59" s="33"/>
      <c r="V59" s="33"/>
    </row>
    <row r="60" spans="1:22" x14ac:dyDescent="0.3">
      <c r="A60" s="33"/>
      <c r="B60" s="271"/>
      <c r="C60" s="273"/>
      <c r="D60" s="273" t="s">
        <v>3</v>
      </c>
      <c r="E60" s="55" t="s">
        <v>3</v>
      </c>
      <c r="F60" s="55" t="s">
        <v>3</v>
      </c>
      <c r="G60" s="55" t="s">
        <v>3</v>
      </c>
      <c r="H60" s="275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x14ac:dyDescent="0.3">
      <c r="A61" s="33"/>
      <c r="B61" s="271"/>
      <c r="C61" s="273"/>
      <c r="D61" s="273"/>
      <c r="E61" s="55" t="s">
        <v>3</v>
      </c>
      <c r="F61" s="55" t="s">
        <v>3</v>
      </c>
      <c r="G61" s="55" t="s">
        <v>3</v>
      </c>
      <c r="H61" s="275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x14ac:dyDescent="0.3">
      <c r="A62" s="33"/>
      <c r="B62" s="271"/>
      <c r="C62" s="273"/>
      <c r="D62" s="273"/>
      <c r="E62" s="55" t="s">
        <v>3</v>
      </c>
      <c r="F62" s="55" t="s">
        <v>3</v>
      </c>
      <c r="G62" s="55" t="s">
        <v>3</v>
      </c>
      <c r="H62" s="275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x14ac:dyDescent="0.3">
      <c r="A63" s="33"/>
      <c r="B63" s="271"/>
      <c r="C63" s="273"/>
      <c r="D63" s="273"/>
      <c r="E63" s="55" t="s">
        <v>3</v>
      </c>
      <c r="F63" s="55" t="s">
        <v>3</v>
      </c>
      <c r="G63" s="57" t="s">
        <v>3</v>
      </c>
      <c r="H63" s="275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x14ac:dyDescent="0.3">
      <c r="A64" s="33"/>
      <c r="B64" s="55" t="s">
        <v>3</v>
      </c>
      <c r="C64" s="55" t="s">
        <v>3</v>
      </c>
      <c r="D64" s="55" t="s">
        <v>3</v>
      </c>
      <c r="E64" s="55" t="s">
        <v>3</v>
      </c>
      <c r="F64" s="55" t="s">
        <v>3</v>
      </c>
      <c r="G64" s="57" t="s">
        <v>3</v>
      </c>
      <c r="H64" s="275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x14ac:dyDescent="0.3">
      <c r="A65" s="33"/>
      <c r="B65" s="55" t="s">
        <v>3</v>
      </c>
      <c r="C65" s="55" t="s">
        <v>3</v>
      </c>
      <c r="D65" s="55" t="s">
        <v>3</v>
      </c>
      <c r="E65" s="55" t="s">
        <v>3</v>
      </c>
      <c r="F65" s="55" t="s">
        <v>3</v>
      </c>
      <c r="G65" s="55" t="s">
        <v>3</v>
      </c>
      <c r="H65" s="275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x14ac:dyDescent="0.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9"/>
      <c r="Q67" s="33"/>
      <c r="R67" s="33"/>
      <c r="S67" s="33"/>
      <c r="T67" s="33"/>
      <c r="U67" s="33"/>
      <c r="V67" s="33"/>
    </row>
    <row r="68" spans="1:22" x14ac:dyDescent="0.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9"/>
      <c r="Q68" s="33"/>
      <c r="R68" s="33"/>
      <c r="S68" s="33"/>
      <c r="T68" s="33"/>
      <c r="U68" s="33"/>
      <c r="V68" s="33"/>
    </row>
    <row r="69" spans="1:22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1:22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22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1:22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1:22" x14ac:dyDescent="0.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9"/>
      <c r="Q73" s="33"/>
      <c r="R73" s="33"/>
      <c r="S73" s="33"/>
      <c r="T73" s="33"/>
      <c r="U73" s="33"/>
      <c r="V73" s="33"/>
    </row>
    <row r="74" spans="1:22" x14ac:dyDescent="0.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9"/>
      <c r="Q74" s="33"/>
      <c r="R74" s="33"/>
      <c r="S74" s="33"/>
      <c r="T74" s="33"/>
      <c r="U74" s="33"/>
      <c r="V74" s="33"/>
    </row>
    <row r="75" spans="1:22" x14ac:dyDescent="0.3">
      <c r="A75" s="33"/>
      <c r="B75" s="33"/>
      <c r="C75" s="33"/>
      <c r="D75" s="33"/>
      <c r="E75" s="58" t="s">
        <v>3</v>
      </c>
      <c r="F75" s="59" t="s">
        <v>3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1:22" x14ac:dyDescent="0.3">
      <c r="A76" s="33"/>
      <c r="B76" s="247" t="s">
        <v>3</v>
      </c>
      <c r="C76" s="248"/>
      <c r="D76" s="249"/>
      <c r="E76" s="60" t="s">
        <v>3</v>
      </c>
      <c r="F76" s="61" t="s">
        <v>3</v>
      </c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1:22" x14ac:dyDescent="0.3">
      <c r="A77" s="33"/>
      <c r="B77" s="259" t="s">
        <v>3</v>
      </c>
      <c r="C77" s="261" t="s">
        <v>3</v>
      </c>
      <c r="D77" s="253" t="s">
        <v>3</v>
      </c>
      <c r="E77" s="57" t="s">
        <v>3</v>
      </c>
      <c r="F77" s="62" t="s">
        <v>3</v>
      </c>
      <c r="G77" s="63" t="s">
        <v>3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1:22" x14ac:dyDescent="0.3">
      <c r="A78" s="33"/>
      <c r="B78" s="259"/>
      <c r="C78" s="261"/>
      <c r="D78" s="253"/>
      <c r="E78" s="64" t="s">
        <v>3</v>
      </c>
      <c r="F78" s="65" t="s">
        <v>3</v>
      </c>
      <c r="G78" s="66" t="s">
        <v>3</v>
      </c>
      <c r="H78" s="67" t="s">
        <v>3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1:22" x14ac:dyDescent="0.3">
      <c r="A79" s="33"/>
      <c r="B79" s="259"/>
      <c r="C79" s="261"/>
      <c r="D79" s="253"/>
      <c r="E79" s="68" t="s">
        <v>3</v>
      </c>
      <c r="F79" s="69" t="s">
        <v>3</v>
      </c>
      <c r="G79" s="70" t="s">
        <v>3</v>
      </c>
      <c r="H79" s="263" t="s">
        <v>3</v>
      </c>
      <c r="I79" s="33"/>
      <c r="J79" s="33"/>
      <c r="K79" s="33"/>
      <c r="L79" s="33"/>
      <c r="M79" s="33"/>
      <c r="N79" s="33"/>
      <c r="O79" s="33"/>
      <c r="P79" s="39"/>
      <c r="Q79" s="33"/>
      <c r="R79" s="33"/>
      <c r="S79" s="33"/>
      <c r="T79" s="33"/>
      <c r="U79" s="33"/>
      <c r="V79" s="33"/>
    </row>
    <row r="80" spans="1:22" x14ac:dyDescent="0.3">
      <c r="A80" s="33"/>
      <c r="B80" s="259"/>
      <c r="C80" s="261"/>
      <c r="D80" s="254"/>
      <c r="E80" s="68" t="s">
        <v>3</v>
      </c>
      <c r="F80" s="69" t="s">
        <v>3</v>
      </c>
      <c r="G80" s="71" t="s">
        <v>3</v>
      </c>
      <c r="H80" s="250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x14ac:dyDescent="0.3">
      <c r="A81" s="33"/>
      <c r="B81" s="259"/>
      <c r="C81" s="261"/>
      <c r="D81" s="264" t="s">
        <v>3</v>
      </c>
      <c r="E81" s="68" t="s">
        <v>3</v>
      </c>
      <c r="F81" s="72" t="s">
        <v>3</v>
      </c>
      <c r="G81" s="71" t="s">
        <v>3</v>
      </c>
      <c r="H81" s="250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1:22" x14ac:dyDescent="0.3">
      <c r="A82" s="33"/>
      <c r="B82" s="259"/>
      <c r="C82" s="261"/>
      <c r="D82" s="264"/>
      <c r="E82" s="68" t="s">
        <v>3</v>
      </c>
      <c r="F82" s="69" t="s">
        <v>3</v>
      </c>
      <c r="G82" s="71" t="s">
        <v>3</v>
      </c>
      <c r="H82" s="250" t="s">
        <v>3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1:22" x14ac:dyDescent="0.3">
      <c r="A83" s="33"/>
      <c r="B83" s="259"/>
      <c r="C83" s="261"/>
      <c r="D83" s="264"/>
      <c r="E83" s="68" t="s">
        <v>3</v>
      </c>
      <c r="F83" s="69" t="s">
        <v>3</v>
      </c>
      <c r="G83" s="73" t="s">
        <v>3</v>
      </c>
      <c r="H83" s="250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1:22" x14ac:dyDescent="0.3">
      <c r="A84" s="33"/>
      <c r="B84" s="259"/>
      <c r="C84" s="262"/>
      <c r="D84" s="265"/>
      <c r="E84" s="57" t="s">
        <v>3</v>
      </c>
      <c r="F84" s="69" t="s">
        <v>3</v>
      </c>
      <c r="G84" s="73" t="s">
        <v>3</v>
      </c>
      <c r="H84" s="250" t="s">
        <v>3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22" x14ac:dyDescent="0.3">
      <c r="A85" s="33"/>
      <c r="B85" s="259"/>
      <c r="C85" s="251" t="s">
        <v>3</v>
      </c>
      <c r="D85" s="253" t="s">
        <v>3</v>
      </c>
      <c r="E85" s="74" t="s">
        <v>3</v>
      </c>
      <c r="F85" s="57" t="s">
        <v>3</v>
      </c>
      <c r="G85" s="73" t="s">
        <v>3</v>
      </c>
      <c r="H85" s="250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1:22" ht="15.6" x14ac:dyDescent="0.3">
      <c r="A86" s="33"/>
      <c r="B86" s="259"/>
      <c r="C86" s="251"/>
      <c r="D86" s="253"/>
      <c r="E86" s="75" t="s">
        <v>3</v>
      </c>
      <c r="F86" s="57" t="s">
        <v>3</v>
      </c>
      <c r="G86" s="76" t="s">
        <v>3</v>
      </c>
      <c r="H86" s="255" t="s">
        <v>3</v>
      </c>
      <c r="I86" s="33"/>
      <c r="J86" s="7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1:22" x14ac:dyDescent="0.3">
      <c r="A87" s="33"/>
      <c r="B87" s="259"/>
      <c r="C87" s="251"/>
      <c r="D87" s="253"/>
      <c r="E87" s="75" t="s">
        <v>3</v>
      </c>
      <c r="F87" s="57" t="s">
        <v>3</v>
      </c>
      <c r="G87" s="78" t="s">
        <v>3</v>
      </c>
      <c r="H87" s="255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1:22" x14ac:dyDescent="0.3">
      <c r="A88" s="33"/>
      <c r="B88" s="259"/>
      <c r="C88" s="251"/>
      <c r="D88" s="254"/>
      <c r="E88" s="75" t="s">
        <v>3</v>
      </c>
      <c r="F88" s="57" t="s">
        <v>3</v>
      </c>
      <c r="G88" s="78" t="s">
        <v>3</v>
      </c>
      <c r="H88" s="255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1:22" x14ac:dyDescent="0.3">
      <c r="A89" s="33"/>
      <c r="B89" s="259"/>
      <c r="C89" s="251"/>
      <c r="D89" s="257" t="s">
        <v>3</v>
      </c>
      <c r="E89" s="75" t="s">
        <v>3</v>
      </c>
      <c r="F89" s="57" t="s">
        <v>3</v>
      </c>
      <c r="G89" s="78" t="s">
        <v>3</v>
      </c>
      <c r="H89" s="255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 x14ac:dyDescent="0.3">
      <c r="A90" s="33"/>
      <c r="B90" s="259"/>
      <c r="C90" s="251"/>
      <c r="D90" s="257"/>
      <c r="E90" s="75" t="s">
        <v>3</v>
      </c>
      <c r="F90" s="57" t="s">
        <v>3</v>
      </c>
      <c r="G90" s="78" t="s">
        <v>3</v>
      </c>
      <c r="H90" s="255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1:22" x14ac:dyDescent="0.3">
      <c r="A91" s="33"/>
      <c r="B91" s="259"/>
      <c r="C91" s="251"/>
      <c r="D91" s="257"/>
      <c r="E91" s="75" t="s">
        <v>3</v>
      </c>
      <c r="F91" s="57" t="s">
        <v>3</v>
      </c>
      <c r="G91" s="76" t="s">
        <v>3</v>
      </c>
      <c r="H91" s="255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 x14ac:dyDescent="0.3">
      <c r="A92" s="33"/>
      <c r="B92" s="260"/>
      <c r="C92" s="252"/>
      <c r="D92" s="258"/>
      <c r="E92" s="79" t="s">
        <v>3</v>
      </c>
      <c r="F92" s="80" t="s">
        <v>3</v>
      </c>
      <c r="G92" s="76" t="s">
        <v>3</v>
      </c>
      <c r="H92" s="255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1:22" x14ac:dyDescent="0.3">
      <c r="A93" s="33"/>
      <c r="B93" s="33"/>
      <c r="C93" s="33"/>
      <c r="D93" s="33"/>
      <c r="E93" s="33"/>
      <c r="F93" s="33"/>
      <c r="G93" s="76" t="s">
        <v>3</v>
      </c>
      <c r="H93" s="255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1:22" x14ac:dyDescent="0.3">
      <c r="A94" s="33"/>
      <c r="B94" s="33"/>
      <c r="C94" s="33"/>
      <c r="D94" s="33"/>
      <c r="E94" s="33"/>
      <c r="F94" s="33"/>
      <c r="G94" s="81" t="s">
        <v>3</v>
      </c>
      <c r="H94" s="256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</sheetData>
  <sheetProtection sheet="1" objects="1" scenarios="1"/>
  <protectedRanges>
    <protectedRange sqref="C2:G6" name="Range1"/>
  </protectedRanges>
  <mergeCells count="32">
    <mergeCell ref="B21:B36"/>
    <mergeCell ref="H33:R33"/>
    <mergeCell ref="G35:G36"/>
    <mergeCell ref="H2:J8"/>
    <mergeCell ref="B12:B19"/>
    <mergeCell ref="H20:R20"/>
    <mergeCell ref="G37:G38"/>
    <mergeCell ref="B43:D44"/>
    <mergeCell ref="G46:G48"/>
    <mergeCell ref="H46:I46"/>
    <mergeCell ref="B49:B63"/>
    <mergeCell ref="C49:C55"/>
    <mergeCell ref="D49:D51"/>
    <mergeCell ref="D52:D55"/>
    <mergeCell ref="H53:H54"/>
    <mergeCell ref="H55:H56"/>
    <mergeCell ref="C56:C63"/>
    <mergeCell ref="D56:D59"/>
    <mergeCell ref="H57:H65"/>
    <mergeCell ref="D60:D63"/>
    <mergeCell ref="B76:D76"/>
    <mergeCell ref="H82:H83"/>
    <mergeCell ref="H84:H85"/>
    <mergeCell ref="C85:C92"/>
    <mergeCell ref="D85:D88"/>
    <mergeCell ref="H86:H94"/>
    <mergeCell ref="D89:D92"/>
    <mergeCell ref="B77:B92"/>
    <mergeCell ref="C77:C84"/>
    <mergeCell ref="D77:D80"/>
    <mergeCell ref="H79:H81"/>
    <mergeCell ref="D81:D8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workbookViewId="0">
      <selection activeCell="K21" sqref="K21"/>
    </sheetView>
  </sheetViews>
  <sheetFormatPr defaultRowHeight="14.4" x14ac:dyDescent="0.3"/>
  <cols>
    <col min="8" max="8" width="16" bestFit="1" customWidth="1"/>
    <col min="10" max="10" width="16" bestFit="1" customWidth="1"/>
    <col min="11" max="11" width="7.5546875" customWidth="1"/>
    <col min="12" max="12" width="16" bestFit="1" customWidth="1"/>
    <col min="14" max="14" width="16" bestFit="1" customWidth="1"/>
    <col min="16" max="16" width="16" bestFit="1" customWidth="1"/>
    <col min="18" max="18" width="16" bestFit="1" customWidth="1"/>
  </cols>
  <sheetData>
    <row r="1" spans="1:22" x14ac:dyDescent="0.3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2" t="s">
        <v>0</v>
      </c>
      <c r="M1" s="32"/>
      <c r="N1" s="32"/>
      <c r="O1" s="32"/>
      <c r="P1" s="32"/>
      <c r="Q1" s="32"/>
      <c r="R1" s="32"/>
      <c r="S1" s="32"/>
      <c r="T1" s="33"/>
      <c r="U1" s="33"/>
      <c r="V1" s="33"/>
    </row>
    <row r="2" spans="1:22" x14ac:dyDescent="0.3">
      <c r="A2" s="33"/>
      <c r="B2" s="33"/>
      <c r="C2" s="271" t="s">
        <v>1</v>
      </c>
      <c r="D2" s="271"/>
      <c r="E2" s="271"/>
      <c r="F2" s="271"/>
      <c r="G2" s="34" t="s">
        <v>2</v>
      </c>
      <c r="H2" s="282"/>
      <c r="I2" s="282"/>
      <c r="J2" s="28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x14ac:dyDescent="0.3">
      <c r="A3" s="33"/>
      <c r="B3" s="35" t="s">
        <v>4</v>
      </c>
      <c r="C3" s="36">
        <v>18</v>
      </c>
      <c r="D3" s="37">
        <v>21</v>
      </c>
      <c r="E3" s="37">
        <v>5</v>
      </c>
      <c r="F3" s="37">
        <v>240</v>
      </c>
      <c r="G3" s="38">
        <v>29</v>
      </c>
      <c r="H3" s="282"/>
      <c r="I3" s="282"/>
      <c r="J3" s="282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3">
      <c r="A4" s="33"/>
      <c r="B4" s="39"/>
      <c r="C4" s="33"/>
      <c r="D4" s="33"/>
      <c r="E4" s="33"/>
      <c r="F4" s="33"/>
      <c r="G4" s="33"/>
      <c r="H4" s="282"/>
      <c r="I4" s="282"/>
      <c r="J4" s="282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3">
      <c r="A5" s="33"/>
      <c r="B5" s="35" t="s">
        <v>5</v>
      </c>
      <c r="C5" s="83">
        <v>18</v>
      </c>
      <c r="D5" s="84">
        <v>21</v>
      </c>
      <c r="E5" s="84">
        <v>133</v>
      </c>
      <c r="F5" s="84">
        <v>240</v>
      </c>
      <c r="G5" s="85">
        <v>28</v>
      </c>
      <c r="H5" s="282"/>
      <c r="I5" s="282"/>
      <c r="J5" s="282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3">
      <c r="A6" s="33"/>
      <c r="B6" s="33"/>
      <c r="C6" s="33"/>
      <c r="D6" s="33"/>
      <c r="E6" s="33"/>
      <c r="F6" s="33"/>
      <c r="G6" s="33"/>
      <c r="H6" s="282"/>
      <c r="I6" s="282"/>
      <c r="J6" s="282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2" x14ac:dyDescent="0.3">
      <c r="A7" s="33"/>
      <c r="B7" s="33"/>
      <c r="C7" s="33"/>
      <c r="D7" s="33"/>
      <c r="E7" s="33"/>
      <c r="F7" s="33"/>
      <c r="G7" s="33"/>
      <c r="H7" s="282"/>
      <c r="I7" s="282"/>
      <c r="J7" s="28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 x14ac:dyDescent="0.3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x14ac:dyDescent="0.3">
      <c r="A9" s="33"/>
      <c r="B9" s="33"/>
      <c r="C9" s="33"/>
      <c r="D9" s="33"/>
      <c r="E9" s="33"/>
      <c r="F9" s="33"/>
      <c r="G9" s="33"/>
      <c r="H9" s="287" t="s">
        <v>6</v>
      </c>
      <c r="I9" s="287"/>
      <c r="J9" s="287"/>
      <c r="K9" s="33"/>
      <c r="L9" s="287" t="s">
        <v>7</v>
      </c>
      <c r="M9" s="287"/>
      <c r="N9" s="287"/>
      <c r="O9" s="33"/>
      <c r="P9" s="287" t="s">
        <v>8</v>
      </c>
      <c r="Q9" s="287"/>
      <c r="R9" s="287"/>
      <c r="S9" s="33"/>
      <c r="T9" s="33"/>
      <c r="U9" s="33"/>
      <c r="V9" s="33"/>
    </row>
    <row r="10" spans="1:22" x14ac:dyDescent="0.3">
      <c r="A10" s="33"/>
      <c r="B10" s="86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spans="1:22" x14ac:dyDescent="0.3">
      <c r="A11" s="33"/>
      <c r="B11" s="286" t="str">
        <f>CONCATENATE($C$3,".",$D$3,".",$E$3,".",$F$3,"/",$G$3)</f>
        <v>18.21.5.240/29</v>
      </c>
      <c r="C11" s="101" t="s">
        <v>9</v>
      </c>
      <c r="D11" s="102">
        <f>F3</f>
        <v>240</v>
      </c>
      <c r="E11" s="103" t="s">
        <v>58</v>
      </c>
      <c r="F11" s="33"/>
      <c r="G11" s="33"/>
      <c r="H11" s="33"/>
      <c r="I11" s="33"/>
      <c r="J11" s="33"/>
      <c r="K11" s="33"/>
      <c r="L11" s="282"/>
      <c r="M11" s="282"/>
      <c r="N11" s="282"/>
      <c r="O11" s="33"/>
      <c r="P11" s="282"/>
      <c r="Q11" s="282"/>
      <c r="R11" s="282"/>
      <c r="S11" s="33"/>
      <c r="T11" s="33"/>
      <c r="U11" s="33"/>
      <c r="V11" s="33"/>
    </row>
    <row r="12" spans="1:22" x14ac:dyDescent="0.3">
      <c r="A12" s="33"/>
      <c r="B12" s="286"/>
      <c r="C12" s="101" t="s">
        <v>11</v>
      </c>
      <c r="D12" s="102">
        <f>D11+1</f>
        <v>241</v>
      </c>
      <c r="E12" s="103" t="s">
        <v>12</v>
      </c>
      <c r="F12" s="33"/>
      <c r="G12" s="33" t="s">
        <v>59</v>
      </c>
      <c r="H12" s="33"/>
      <c r="I12" s="33"/>
      <c r="J12" s="33"/>
      <c r="K12" s="33"/>
      <c r="L12" s="282"/>
      <c r="M12" s="282"/>
      <c r="N12" s="282"/>
      <c r="O12" s="33"/>
      <c r="P12" s="282"/>
      <c r="Q12" s="282"/>
      <c r="R12" s="282"/>
      <c r="S12" s="33"/>
      <c r="T12" s="33"/>
      <c r="U12" s="33"/>
      <c r="V12" s="33"/>
    </row>
    <row r="13" spans="1:22" x14ac:dyDescent="0.3">
      <c r="A13" s="33"/>
      <c r="B13" s="286"/>
      <c r="C13" s="101" t="s">
        <v>14</v>
      </c>
      <c r="D13" s="102">
        <f t="shared" ref="D13:D18" si="0">D12+1</f>
        <v>242</v>
      </c>
      <c r="E13" s="104" t="s">
        <v>60</v>
      </c>
      <c r="F13" s="33"/>
      <c r="G13" s="33"/>
      <c r="H13" s="33"/>
      <c r="I13" s="33"/>
      <c r="J13" s="33"/>
      <c r="K13" s="33"/>
      <c r="L13" s="282"/>
      <c r="M13" s="282"/>
      <c r="N13" s="282"/>
      <c r="O13" s="33"/>
      <c r="P13" s="282"/>
      <c r="Q13" s="282"/>
      <c r="R13" s="282"/>
      <c r="S13" s="33"/>
      <c r="T13" s="33"/>
      <c r="U13" s="33"/>
      <c r="V13" s="33"/>
    </row>
    <row r="14" spans="1:22" x14ac:dyDescent="0.3">
      <c r="A14" s="33"/>
      <c r="B14" s="286"/>
      <c r="C14" s="101" t="s">
        <v>16</v>
      </c>
      <c r="D14" s="102">
        <f t="shared" si="0"/>
        <v>243</v>
      </c>
      <c r="E14" s="103" t="s">
        <v>61</v>
      </c>
      <c r="F14" s="33"/>
      <c r="G14" s="33"/>
      <c r="H14" s="33"/>
      <c r="I14" s="33"/>
      <c r="J14" s="33"/>
      <c r="K14" s="33"/>
      <c r="L14" s="282"/>
      <c r="M14" s="282"/>
      <c r="N14" s="282"/>
      <c r="O14" s="33"/>
      <c r="P14" s="282"/>
      <c r="Q14" s="282"/>
      <c r="R14" s="282"/>
      <c r="S14" s="33"/>
      <c r="T14" s="33"/>
      <c r="U14" s="33"/>
      <c r="V14" s="33"/>
    </row>
    <row r="15" spans="1:22" x14ac:dyDescent="0.3">
      <c r="A15" s="33"/>
      <c r="B15" s="286"/>
      <c r="C15" s="101" t="s">
        <v>17</v>
      </c>
      <c r="D15" s="102">
        <f t="shared" si="0"/>
        <v>244</v>
      </c>
      <c r="E15" s="103" t="s">
        <v>61</v>
      </c>
      <c r="F15" s="33"/>
      <c r="G15" s="33"/>
      <c r="H15" s="33"/>
      <c r="I15" s="33"/>
      <c r="J15" s="33"/>
      <c r="K15" s="33"/>
      <c r="L15" s="282"/>
      <c r="M15" s="282"/>
      <c r="N15" s="282"/>
      <c r="O15" s="33"/>
      <c r="P15" s="282"/>
      <c r="Q15" s="282"/>
      <c r="R15" s="282"/>
      <c r="S15" s="33"/>
      <c r="T15" s="33"/>
      <c r="U15" s="33"/>
      <c r="V15" s="33"/>
    </row>
    <row r="16" spans="1:22" x14ac:dyDescent="0.3">
      <c r="A16" s="33"/>
      <c r="B16" s="286"/>
      <c r="C16" s="101" t="s">
        <v>19</v>
      </c>
      <c r="D16" s="102">
        <f t="shared" si="0"/>
        <v>245</v>
      </c>
      <c r="E16" s="103" t="s">
        <v>61</v>
      </c>
      <c r="F16" s="33"/>
      <c r="G16" s="33"/>
      <c r="H16" s="33"/>
      <c r="I16" s="33"/>
      <c r="J16" s="33"/>
      <c r="K16" s="33"/>
      <c r="L16" s="282"/>
      <c r="M16" s="282"/>
      <c r="N16" s="282"/>
      <c r="O16" s="33"/>
      <c r="P16" s="282"/>
      <c r="Q16" s="282"/>
      <c r="R16" s="282"/>
      <c r="S16" s="33"/>
      <c r="T16" s="33"/>
      <c r="U16" s="33"/>
      <c r="V16" s="33"/>
    </row>
    <row r="17" spans="1:22" x14ac:dyDescent="0.3">
      <c r="A17" s="33"/>
      <c r="B17" s="286"/>
      <c r="C17" s="101" t="s">
        <v>21</v>
      </c>
      <c r="D17" s="102">
        <f t="shared" si="0"/>
        <v>246</v>
      </c>
      <c r="E17" s="103" t="s">
        <v>61</v>
      </c>
      <c r="F17" s="33"/>
      <c r="G17" s="33"/>
      <c r="H17" s="33"/>
      <c r="I17" s="33"/>
      <c r="J17" s="282"/>
      <c r="K17" s="282"/>
      <c r="L17" s="282"/>
      <c r="M17" s="33"/>
      <c r="N17" s="282"/>
      <c r="O17" s="282"/>
      <c r="P17" s="282"/>
      <c r="Q17" s="33"/>
      <c r="R17" s="33"/>
      <c r="S17" s="33"/>
      <c r="T17" s="33"/>
      <c r="U17" s="33"/>
      <c r="V17" s="33"/>
    </row>
    <row r="18" spans="1:22" x14ac:dyDescent="0.3">
      <c r="A18" s="33"/>
      <c r="B18" s="286"/>
      <c r="C18" s="101" t="s">
        <v>22</v>
      </c>
      <c r="D18" s="102">
        <f t="shared" si="0"/>
        <v>247</v>
      </c>
      <c r="E18" s="103" t="s">
        <v>62</v>
      </c>
      <c r="F18" s="33"/>
      <c r="G18" s="33"/>
      <c r="H18" s="33"/>
      <c r="I18" s="33"/>
      <c r="J18" s="282"/>
      <c r="K18" s="282"/>
      <c r="L18" s="282"/>
      <c r="M18" s="33"/>
      <c r="N18" s="282"/>
      <c r="O18" s="282"/>
      <c r="P18" s="282"/>
      <c r="Q18" s="33"/>
      <c r="R18" s="33"/>
      <c r="S18" s="33"/>
      <c r="T18" s="33"/>
      <c r="U18" s="33"/>
      <c r="V18" s="33"/>
    </row>
    <row r="19" spans="1:22" x14ac:dyDescent="0.3">
      <c r="A19" s="33"/>
      <c r="B19" s="87"/>
      <c r="C19" s="87"/>
      <c r="D19" s="87"/>
      <c r="E19" s="87"/>
      <c r="F19" s="33"/>
      <c r="G19" s="33"/>
      <c r="H19" s="288" t="s">
        <v>24</v>
      </c>
      <c r="I19" s="289"/>
      <c r="J19" s="289"/>
      <c r="K19" s="289"/>
      <c r="L19" s="289"/>
      <c r="M19" s="289"/>
      <c r="N19" s="289"/>
      <c r="O19" s="289"/>
      <c r="P19" s="289"/>
      <c r="Q19" s="289"/>
      <c r="R19" s="290"/>
      <c r="S19" s="33"/>
      <c r="T19" s="33"/>
      <c r="U19" s="33"/>
      <c r="V19" s="33"/>
    </row>
    <row r="20" spans="1:22" x14ac:dyDescent="0.3">
      <c r="A20" s="33"/>
      <c r="B20" s="291" t="str">
        <f>CONCATENATE($C$5,".",$D$5,".",$E$5,".",$F$5,"/",$G$5)</f>
        <v>18.21.133.240/28</v>
      </c>
      <c r="C20" s="101" t="s">
        <v>9</v>
      </c>
      <c r="D20" s="101">
        <f>F5</f>
        <v>240</v>
      </c>
      <c r="E20" s="103" t="s">
        <v>25</v>
      </c>
      <c r="F20" s="33"/>
      <c r="G20" s="33"/>
      <c r="H20" s="95" t="str">
        <f>CONCATENATE($C$5,".",$D$5,".",$E$5,".",$F$5+1)</f>
        <v>18.21.133.241</v>
      </c>
      <c r="I20" s="33"/>
      <c r="J20" s="109" t="str">
        <f>CONCATENATE($C$5,".",$D$5,".",$E$5,".",$F$5+2)</f>
        <v>18.21.133.242</v>
      </c>
      <c r="K20" s="33"/>
      <c r="L20" s="109" t="str">
        <f>CONCATENATE($C$5,".",$D$5,".",$E$5,".",$F$5+3)</f>
        <v>18.21.133.243</v>
      </c>
      <c r="M20" s="33"/>
      <c r="N20" s="109" t="str">
        <f>CONCATENATE($C$5,".",$D$5,".",$E$5,".",$F$5+4)</f>
        <v>18.21.133.244</v>
      </c>
      <c r="O20" s="33"/>
      <c r="P20" s="109" t="str">
        <f>CONCATENATE($C$5,".",$D$5,".",$E$5,".",$F$5+5)</f>
        <v>18.21.133.245</v>
      </c>
      <c r="Q20" s="33"/>
      <c r="R20" s="109" t="str">
        <f>CONCATENATE($C$5,".",$D$5,".",$E$5,".",$F$5+6)</f>
        <v>18.21.133.246</v>
      </c>
      <c r="S20" s="33"/>
      <c r="T20" s="33"/>
      <c r="U20" s="33"/>
      <c r="V20" s="33"/>
    </row>
    <row r="21" spans="1:22" x14ac:dyDescent="0.3">
      <c r="A21" s="33"/>
      <c r="B21" s="292"/>
      <c r="C21" s="101" t="s">
        <v>11</v>
      </c>
      <c r="D21" s="101">
        <f>F5+1</f>
        <v>241</v>
      </c>
      <c r="E21" s="104" t="s">
        <v>63</v>
      </c>
      <c r="F21" s="33"/>
      <c r="G21" s="33"/>
      <c r="H21" s="9" t="str">
        <f>VLOOKUP($G$5+4,'(servizio)'!$A$2:$B$25,2)</f>
        <v>255.255.255.255</v>
      </c>
      <c r="I21" s="33"/>
      <c r="J21" s="9" t="str">
        <f>VLOOKUP($G$5+4,'(servizio)'!$A$2:$B$25,2)</f>
        <v>255.255.255.255</v>
      </c>
      <c r="K21" s="33"/>
      <c r="L21" s="9" t="str">
        <f>VLOOKUP($G$5+4,'(servizio)'!$A$2:$B$25,2)</f>
        <v>255.255.255.255</v>
      </c>
      <c r="M21" s="33"/>
      <c r="N21" s="9" t="str">
        <f>VLOOKUP($G$5+4,'(servizio)'!$A$2:$B$25,2)</f>
        <v>255.255.255.255</v>
      </c>
      <c r="O21" s="33"/>
      <c r="P21" s="9" t="str">
        <f>VLOOKUP($G$5+4,'(servizio)'!$A$2:$B$25,2)</f>
        <v>255.255.255.255</v>
      </c>
      <c r="Q21" s="33"/>
      <c r="R21" s="9" t="str">
        <f>VLOOKUP($G$5+4,'(servizio)'!$A$2:$B$25,2)</f>
        <v>255.255.255.255</v>
      </c>
      <c r="S21" s="33"/>
      <c r="T21" s="33"/>
      <c r="U21" s="33"/>
      <c r="V21" s="33"/>
    </row>
    <row r="22" spans="1:22" x14ac:dyDescent="0.3">
      <c r="A22" s="33"/>
      <c r="B22" s="292"/>
      <c r="C22" s="101" t="s">
        <v>14</v>
      </c>
      <c r="D22" s="101">
        <f>F5+2</f>
        <v>242</v>
      </c>
      <c r="E22" s="103" t="s">
        <v>64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spans="1:22" x14ac:dyDescent="0.3">
      <c r="A23" s="33"/>
      <c r="B23" s="292"/>
      <c r="C23" s="101" t="s">
        <v>16</v>
      </c>
      <c r="D23" s="101">
        <f>F5+3</f>
        <v>243</v>
      </c>
      <c r="E23" s="103" t="s">
        <v>65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x14ac:dyDescent="0.3">
      <c r="A24" s="33"/>
      <c r="B24" s="292"/>
      <c r="C24" s="101" t="s">
        <v>17</v>
      </c>
      <c r="D24" s="101">
        <f>F5+4</f>
        <v>244</v>
      </c>
      <c r="E24" s="103" t="s">
        <v>66</v>
      </c>
      <c r="F24" s="33"/>
      <c r="G24" s="105" t="s">
        <v>1</v>
      </c>
      <c r="H24" s="17" t="str">
        <f>CONCATENATE($C$3,".",$D$3,".",$E$3,".",$F$3,"/",$G$3)</f>
        <v>18.21.5.240/29</v>
      </c>
      <c r="I24" s="33"/>
      <c r="J24" s="87"/>
      <c r="K24" s="33"/>
      <c r="L24" s="33"/>
      <c r="M24" s="33"/>
      <c r="N24" s="87"/>
      <c r="O24" s="33"/>
      <c r="P24" s="33"/>
      <c r="Q24" s="33"/>
      <c r="R24" s="33"/>
      <c r="S24" s="33"/>
      <c r="T24" s="33"/>
      <c r="U24" s="33"/>
      <c r="V24" s="33"/>
    </row>
    <row r="25" spans="1:22" x14ac:dyDescent="0.3">
      <c r="A25" s="33"/>
      <c r="B25" s="292"/>
      <c r="C25" s="101" t="s">
        <v>19</v>
      </c>
      <c r="D25" s="101">
        <f>F5+5</f>
        <v>245</v>
      </c>
      <c r="E25" s="103" t="s">
        <v>67</v>
      </c>
      <c r="F25" s="33"/>
      <c r="G25" s="105" t="s">
        <v>31</v>
      </c>
      <c r="H25" s="108" t="str">
        <f>CONCATENATE($C$3,".",$D$3,".",$E$3,".",$F$3+2)</f>
        <v>18.21.5.242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x14ac:dyDescent="0.3">
      <c r="A26" s="33"/>
      <c r="B26" s="292"/>
      <c r="C26" s="101" t="s">
        <v>21</v>
      </c>
      <c r="D26" s="101">
        <f>F5+6</f>
        <v>246</v>
      </c>
      <c r="E26" s="103" t="s">
        <v>68</v>
      </c>
      <c r="F26" s="33"/>
      <c r="G26" s="105" t="s">
        <v>33</v>
      </c>
      <c r="H26" s="17" t="str">
        <f>VLOOKUP($G$3,'(servizio)'!$A$2:$B$24,2)</f>
        <v>255.255.255.248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 x14ac:dyDescent="0.3">
      <c r="A27" s="33"/>
      <c r="B27" s="292"/>
      <c r="C27" s="101" t="s">
        <v>22</v>
      </c>
      <c r="D27" s="101">
        <f>F5+7</f>
        <v>247</v>
      </c>
      <c r="E27" s="103" t="s">
        <v>34</v>
      </c>
      <c r="F27" s="33"/>
      <c r="G27" s="105" t="s">
        <v>69</v>
      </c>
      <c r="H27" s="17" t="str">
        <f>CONCATENATE($C$5,".",$D$5,".",$E$5,".",$F$5+1)</f>
        <v>18.21.133.241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x14ac:dyDescent="0.3">
      <c r="A28" s="33"/>
      <c r="B28" s="292"/>
      <c r="C28" s="101" t="s">
        <v>36</v>
      </c>
      <c r="D28" s="101">
        <f>F5+8</f>
        <v>248</v>
      </c>
      <c r="E28" s="103" t="s">
        <v>34</v>
      </c>
      <c r="F28" s="33"/>
      <c r="G28" s="106" t="s">
        <v>70</v>
      </c>
      <c r="H28" s="94">
        <v>3556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spans="1:22" x14ac:dyDescent="0.3">
      <c r="A29" s="33"/>
      <c r="B29" s="292"/>
      <c r="C29" s="101" t="s">
        <v>38</v>
      </c>
      <c r="D29" s="101">
        <f>F5+9</f>
        <v>249</v>
      </c>
      <c r="E29" s="103" t="s">
        <v>34</v>
      </c>
      <c r="F29" s="33"/>
      <c r="G29" s="106" t="s">
        <v>71</v>
      </c>
      <c r="H29" s="107" t="str">
        <f>CONCATENATE("gei-1/4/0/1",".",H28)</f>
        <v>gei-1/4/0/1.3556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9"/>
      <c r="U29" s="33"/>
      <c r="V29" s="33"/>
    </row>
    <row r="30" spans="1:22" x14ac:dyDescent="0.3">
      <c r="A30" s="33"/>
      <c r="B30" s="292"/>
      <c r="C30" s="101" t="s">
        <v>39</v>
      </c>
      <c r="D30" s="101">
        <f>F5+10</f>
        <v>250</v>
      </c>
      <c r="E30" s="103" t="s">
        <v>34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spans="1:22" x14ac:dyDescent="0.3">
      <c r="A31" s="33"/>
      <c r="B31" s="292"/>
      <c r="C31" s="101" t="s">
        <v>40</v>
      </c>
      <c r="D31" s="101">
        <f>F5+11</f>
        <v>251</v>
      </c>
      <c r="E31" s="103" t="s">
        <v>34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 x14ac:dyDescent="0.3">
      <c r="A32" s="33"/>
      <c r="B32" s="292"/>
      <c r="C32" s="101" t="s">
        <v>41</v>
      </c>
      <c r="D32" s="101">
        <f>F5+12</f>
        <v>252</v>
      </c>
      <c r="E32" s="103" t="s">
        <v>34</v>
      </c>
      <c r="F32" s="33"/>
      <c r="G32" s="33"/>
      <c r="H32" s="294" t="s">
        <v>42</v>
      </c>
      <c r="I32" s="295"/>
      <c r="J32" s="295"/>
      <c r="K32" s="295"/>
      <c r="L32" s="295"/>
      <c r="M32" s="295"/>
      <c r="N32" s="295"/>
      <c r="O32" s="295"/>
      <c r="P32" s="295"/>
      <c r="Q32" s="295"/>
      <c r="R32" s="296"/>
      <c r="S32" s="33"/>
      <c r="T32" s="33"/>
      <c r="U32" s="33"/>
      <c r="V32" s="33"/>
    </row>
    <row r="33" spans="1:22" x14ac:dyDescent="0.3">
      <c r="A33" s="33"/>
      <c r="B33" s="292"/>
      <c r="C33" s="101" t="s">
        <v>43</v>
      </c>
      <c r="D33" s="101">
        <f>F5+13</f>
        <v>253</v>
      </c>
      <c r="E33" s="103" t="s">
        <v>34</v>
      </c>
      <c r="F33" s="33"/>
      <c r="G33" s="33"/>
      <c r="H33" s="88" t="s">
        <v>44</v>
      </c>
      <c r="I33" s="33"/>
      <c r="J33" s="88" t="s">
        <v>44</v>
      </c>
      <c r="K33" s="33"/>
      <c r="L33" s="88" t="s">
        <v>44</v>
      </c>
      <c r="M33" s="33"/>
      <c r="N33" s="88" t="s">
        <v>44</v>
      </c>
      <c r="O33" s="33"/>
      <c r="P33" s="88" t="s">
        <v>44</v>
      </c>
      <c r="Q33" s="33"/>
      <c r="R33" s="88" t="s">
        <v>44</v>
      </c>
      <c r="S33" s="33"/>
      <c r="T33" s="33"/>
      <c r="U33" s="33"/>
      <c r="V33" s="33"/>
    </row>
    <row r="34" spans="1:22" x14ac:dyDescent="0.3">
      <c r="A34" s="33"/>
      <c r="B34" s="292"/>
      <c r="C34" s="101" t="s">
        <v>45</v>
      </c>
      <c r="D34" s="101">
        <f>F5+14</f>
        <v>254</v>
      </c>
      <c r="E34" s="103" t="s">
        <v>34</v>
      </c>
      <c r="F34" s="33"/>
      <c r="G34" s="33"/>
      <c r="H34" s="46" t="s">
        <v>46</v>
      </c>
      <c r="I34" s="33"/>
      <c r="J34" s="46" t="s">
        <v>46</v>
      </c>
      <c r="K34" s="33"/>
      <c r="L34" s="46" t="s">
        <v>46</v>
      </c>
      <c r="M34" s="33"/>
      <c r="N34" s="46" t="s">
        <v>46</v>
      </c>
      <c r="O34" s="33"/>
      <c r="P34" s="46" t="s">
        <v>46</v>
      </c>
      <c r="Q34" s="33"/>
      <c r="R34" s="46" t="s">
        <v>46</v>
      </c>
      <c r="S34" s="33"/>
      <c r="T34" s="33"/>
      <c r="U34" s="33"/>
      <c r="V34" s="33"/>
    </row>
    <row r="35" spans="1:22" x14ac:dyDescent="0.3">
      <c r="A35" s="33"/>
      <c r="B35" s="293"/>
      <c r="C35" s="101" t="s">
        <v>47</v>
      </c>
      <c r="D35" s="101">
        <f>F5+15</f>
        <v>255</v>
      </c>
      <c r="E35" s="103" t="s">
        <v>48</v>
      </c>
      <c r="F35" s="33"/>
      <c r="G35" s="33"/>
      <c r="H35" s="47" t="s">
        <v>49</v>
      </c>
      <c r="I35" s="33"/>
      <c r="J35" s="47" t="s">
        <v>49</v>
      </c>
      <c r="K35" s="33"/>
      <c r="L35" s="47" t="s">
        <v>49</v>
      </c>
      <c r="M35" s="33"/>
      <c r="N35" s="47" t="s">
        <v>49</v>
      </c>
      <c r="O35" s="33"/>
      <c r="P35" s="47" t="s">
        <v>49</v>
      </c>
      <c r="Q35" s="33"/>
      <c r="R35" s="47" t="s">
        <v>49</v>
      </c>
      <c r="S35" s="33"/>
      <c r="T35" s="33"/>
      <c r="U35" s="33"/>
      <c r="V35" s="33"/>
    </row>
    <row r="36" spans="1:22" x14ac:dyDescent="0.3">
      <c r="A36" s="33"/>
      <c r="B36" s="33"/>
      <c r="C36" s="33"/>
      <c r="D36" s="33"/>
      <c r="E36" s="33"/>
      <c r="F36" s="33"/>
      <c r="G36" s="33"/>
      <c r="H36" s="45" t="s">
        <v>50</v>
      </c>
      <c r="I36" s="33"/>
      <c r="J36" s="45" t="s">
        <v>50</v>
      </c>
      <c r="K36" s="33"/>
      <c r="L36" s="45" t="s">
        <v>50</v>
      </c>
      <c r="M36" s="33"/>
      <c r="N36" s="45" t="s">
        <v>50</v>
      </c>
      <c r="O36" s="33"/>
      <c r="P36" s="45" t="s">
        <v>50</v>
      </c>
      <c r="Q36" s="33"/>
      <c r="R36" s="45" t="s">
        <v>50</v>
      </c>
      <c r="S36" s="33"/>
      <c r="T36" s="33"/>
      <c r="U36" s="33"/>
      <c r="V36" s="33"/>
    </row>
    <row r="37" spans="1:22" x14ac:dyDescent="0.3">
      <c r="A37" s="33"/>
      <c r="B37" s="33"/>
      <c r="C37" s="33"/>
      <c r="D37" s="33"/>
      <c r="E37" s="33"/>
      <c r="F37" s="33"/>
      <c r="G37" s="33"/>
      <c r="H37" s="48" t="s">
        <v>51</v>
      </c>
      <c r="I37" s="33"/>
      <c r="J37" s="48" t="s">
        <v>51</v>
      </c>
      <c r="K37" s="33"/>
      <c r="L37" s="48" t="s">
        <v>51</v>
      </c>
      <c r="M37" s="33"/>
      <c r="N37" s="48" t="s">
        <v>51</v>
      </c>
      <c r="O37" s="33"/>
      <c r="P37" s="48" t="s">
        <v>51</v>
      </c>
      <c r="Q37" s="33"/>
      <c r="R37" s="48" t="s">
        <v>51</v>
      </c>
      <c r="S37" s="33"/>
      <c r="T37" s="33"/>
      <c r="U37" s="33"/>
      <c r="V37" s="33"/>
    </row>
    <row r="38" spans="1:22" x14ac:dyDescent="0.3">
      <c r="A38" s="33"/>
      <c r="B38" s="33"/>
      <c r="C38" s="33"/>
      <c r="D38" s="33"/>
      <c r="E38" s="33"/>
      <c r="F38" s="33"/>
      <c r="G38" s="33"/>
      <c r="H38" s="49" t="s">
        <v>52</v>
      </c>
      <c r="I38" s="33"/>
      <c r="J38" s="49" t="s">
        <v>52</v>
      </c>
      <c r="K38" s="33"/>
      <c r="L38" s="49" t="s">
        <v>52</v>
      </c>
      <c r="M38" s="33"/>
      <c r="N38" s="49" t="s">
        <v>52</v>
      </c>
      <c r="O38" s="33"/>
      <c r="P38" s="49" t="s">
        <v>52</v>
      </c>
      <c r="Q38" s="33"/>
      <c r="R38" s="49" t="s">
        <v>52</v>
      </c>
      <c r="S38" s="33"/>
      <c r="T38" s="33"/>
      <c r="U38" s="33"/>
      <c r="V38" s="33"/>
    </row>
    <row r="39" spans="1:22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22" x14ac:dyDescent="0.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1:22" x14ac:dyDescent="0.3">
      <c r="A41" s="33"/>
      <c r="B41" s="33"/>
      <c r="C41" s="33"/>
      <c r="D41" s="33"/>
      <c r="E41" s="33"/>
      <c r="F41" s="33"/>
      <c r="G41" s="269" t="s">
        <v>53</v>
      </c>
      <c r="H41" s="270"/>
      <c r="I41" s="55" t="s">
        <v>3</v>
      </c>
      <c r="J41" s="89" t="s">
        <v>3</v>
      </c>
      <c r="K41" s="89" t="s">
        <v>3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1:22" x14ac:dyDescent="0.3">
      <c r="A42" s="33"/>
      <c r="B42" s="266"/>
      <c r="C42" s="266"/>
      <c r="D42" s="266"/>
      <c r="E42" s="266"/>
      <c r="F42" s="266"/>
      <c r="G42" s="51" t="s">
        <v>54</v>
      </c>
      <c r="H42" s="52" t="s">
        <v>55</v>
      </c>
      <c r="I42" s="55" t="s">
        <v>3</v>
      </c>
      <c r="J42" s="90" t="s">
        <v>3</v>
      </c>
      <c r="K42" s="90" t="s">
        <v>3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x14ac:dyDescent="0.3">
      <c r="A43" s="33"/>
      <c r="B43" s="33"/>
      <c r="C43" s="33"/>
      <c r="D43" s="33"/>
      <c r="E43" s="33"/>
      <c r="F43" s="33"/>
      <c r="G43" s="53" t="s">
        <v>56</v>
      </c>
      <c r="H43" s="54" t="s">
        <v>57</v>
      </c>
      <c r="I43" s="55" t="s">
        <v>3</v>
      </c>
      <c r="J43" s="55" t="s">
        <v>3</v>
      </c>
      <c r="K43" s="55" t="s">
        <v>3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x14ac:dyDescent="0.3">
      <c r="A44" s="33"/>
      <c r="B44" s="266"/>
      <c r="C44" s="302"/>
      <c r="D44" s="28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spans="1:22" x14ac:dyDescent="0.3">
      <c r="A45" s="33"/>
      <c r="B45" s="266"/>
      <c r="C45" s="302"/>
      <c r="D45" s="28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spans="1:22" x14ac:dyDescent="0.3">
      <c r="A46" s="33"/>
      <c r="B46" s="266"/>
      <c r="C46" s="302"/>
      <c r="D46" s="282"/>
      <c r="E46" s="33"/>
      <c r="F46" s="39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spans="1:22" x14ac:dyDescent="0.3">
      <c r="A47" s="33"/>
      <c r="B47" s="266"/>
      <c r="C47" s="302"/>
      <c r="D47" s="282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spans="1:22" x14ac:dyDescent="0.3">
      <c r="A48" s="33"/>
      <c r="B48" s="266"/>
      <c r="C48" s="302"/>
      <c r="D48" s="282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spans="1:22" x14ac:dyDescent="0.3">
      <c r="A49" s="33"/>
      <c r="B49" s="266"/>
      <c r="C49" s="302"/>
      <c r="D49" s="282"/>
      <c r="E49" s="33"/>
      <c r="F49" s="33"/>
      <c r="G49" s="82"/>
      <c r="H49" s="267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spans="1:22" x14ac:dyDescent="0.3">
      <c r="A50" s="33"/>
      <c r="B50" s="266"/>
      <c r="C50" s="302"/>
      <c r="D50" s="282"/>
      <c r="E50" s="33"/>
      <c r="F50" s="33"/>
      <c r="G50" s="82"/>
      <c r="H50" s="267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1:22" x14ac:dyDescent="0.3">
      <c r="A51" s="33"/>
      <c r="B51" s="266"/>
      <c r="C51" s="302"/>
      <c r="D51" s="282"/>
      <c r="E51" s="33"/>
      <c r="F51" s="33"/>
      <c r="G51" s="33"/>
      <c r="H51" s="300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spans="1:22" x14ac:dyDescent="0.3">
      <c r="A52" s="33"/>
      <c r="B52" s="266"/>
      <c r="C52" s="282"/>
      <c r="D52" s="282"/>
      <c r="E52" s="33"/>
      <c r="F52" s="33"/>
      <c r="G52" s="33"/>
      <c r="H52" s="300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1:22" x14ac:dyDescent="0.3">
      <c r="A53" s="33"/>
      <c r="B53" s="266"/>
      <c r="C53" s="282"/>
      <c r="D53" s="282"/>
      <c r="E53" s="33"/>
      <c r="F53" s="33"/>
      <c r="G53" s="33"/>
      <c r="H53" s="300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1:22" x14ac:dyDescent="0.3">
      <c r="A54" s="33"/>
      <c r="B54" s="266"/>
      <c r="C54" s="282"/>
      <c r="D54" s="282"/>
      <c r="E54" s="33"/>
      <c r="F54" s="33"/>
      <c r="G54" s="33"/>
      <c r="H54" s="300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1:22" x14ac:dyDescent="0.3">
      <c r="A55" s="33"/>
      <c r="B55" s="266"/>
      <c r="C55" s="282"/>
      <c r="D55" s="282"/>
      <c r="E55" s="33"/>
      <c r="F55" s="33"/>
      <c r="G55" s="33"/>
      <c r="H55" s="300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1:22" x14ac:dyDescent="0.3">
      <c r="A56" s="33"/>
      <c r="B56" s="266"/>
      <c r="C56" s="282"/>
      <c r="D56" s="282"/>
      <c r="E56" s="33"/>
      <c r="F56" s="33"/>
      <c r="G56" s="33"/>
      <c r="H56" s="300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x14ac:dyDescent="0.3">
      <c r="A57" s="33"/>
      <c r="B57" s="266"/>
      <c r="C57" s="282"/>
      <c r="D57" s="282"/>
      <c r="E57" s="33"/>
      <c r="F57" s="33"/>
      <c r="G57" s="91"/>
      <c r="H57" s="30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 x14ac:dyDescent="0.3">
      <c r="A58" s="33"/>
      <c r="B58" s="266"/>
      <c r="C58" s="282"/>
      <c r="D58" s="282"/>
      <c r="E58" s="33"/>
      <c r="F58" s="33"/>
      <c r="G58" s="91"/>
      <c r="H58" s="300"/>
      <c r="I58" s="33"/>
      <c r="J58" s="39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 x14ac:dyDescent="0.3">
      <c r="A59" s="33"/>
      <c r="B59" s="266"/>
      <c r="C59" s="282"/>
      <c r="D59" s="282"/>
      <c r="E59" s="33"/>
      <c r="F59" s="33"/>
      <c r="G59" s="33"/>
      <c r="H59" s="300"/>
      <c r="I59" s="33"/>
      <c r="J59" s="266"/>
      <c r="K59" s="301"/>
      <c r="L59" s="33"/>
      <c r="M59" s="299"/>
      <c r="N59" s="299"/>
      <c r="O59" s="299"/>
      <c r="P59" s="299"/>
      <c r="Q59" s="299"/>
      <c r="R59" s="299"/>
      <c r="S59" s="299"/>
      <c r="T59" s="299"/>
      <c r="U59" s="299"/>
      <c r="V59" s="33"/>
    </row>
    <row r="60" spans="1:22" x14ac:dyDescent="0.3">
      <c r="A60" s="33"/>
      <c r="B60" s="33"/>
      <c r="C60" s="33"/>
      <c r="D60" s="33"/>
      <c r="E60" s="33"/>
      <c r="F60" s="33"/>
      <c r="G60" s="33"/>
      <c r="H60" s="33"/>
      <c r="I60" s="33"/>
      <c r="J60" s="266"/>
      <c r="K60" s="301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x14ac:dyDescent="0.3">
      <c r="A61" s="33"/>
      <c r="B61" s="33"/>
      <c r="C61" s="33"/>
      <c r="D61" s="33"/>
      <c r="E61" s="33"/>
      <c r="F61" s="33"/>
      <c r="G61" s="33"/>
      <c r="H61" s="33"/>
      <c r="I61" s="33"/>
      <c r="J61" s="39"/>
      <c r="K61" s="33"/>
      <c r="L61" s="33"/>
      <c r="M61" s="282"/>
      <c r="N61" s="282"/>
      <c r="O61" s="282"/>
      <c r="P61" s="282"/>
      <c r="Q61" s="282"/>
      <c r="R61" s="282"/>
      <c r="S61" s="282"/>
      <c r="T61" s="282"/>
      <c r="U61" s="282"/>
      <c r="V61" s="33"/>
    </row>
    <row r="62" spans="1:22" x14ac:dyDescent="0.3">
      <c r="A62" s="33"/>
      <c r="B62" s="33"/>
      <c r="C62" s="33"/>
      <c r="D62" s="33"/>
      <c r="E62" s="33"/>
      <c r="F62" s="33"/>
      <c r="G62" s="33"/>
      <c r="H62" s="33"/>
      <c r="I62" s="33"/>
      <c r="J62" s="39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9"/>
      <c r="K63" s="33"/>
      <c r="L63" s="33"/>
      <c r="M63" s="282"/>
      <c r="N63" s="282"/>
      <c r="O63" s="282"/>
      <c r="P63" s="282"/>
      <c r="Q63" s="282"/>
      <c r="R63" s="282"/>
      <c r="S63" s="282"/>
      <c r="T63" s="282"/>
      <c r="U63" s="282"/>
      <c r="V63" s="33"/>
    </row>
    <row r="64" spans="1:22" x14ac:dyDescent="0.3">
      <c r="A64" s="33"/>
      <c r="B64" s="33"/>
      <c r="C64" s="33"/>
      <c r="D64" s="33"/>
      <c r="E64" s="33"/>
      <c r="F64" s="33"/>
      <c r="G64" s="33"/>
      <c r="H64" s="33"/>
      <c r="I64" s="33"/>
      <c r="J64" s="39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x14ac:dyDescent="0.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x14ac:dyDescent="0.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1:22" x14ac:dyDescent="0.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spans="1:22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1:22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22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1:22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1:22" x14ac:dyDescent="0.3">
      <c r="A73" s="33"/>
      <c r="B73" s="33"/>
      <c r="C73" s="33"/>
      <c r="D73" s="33"/>
      <c r="E73" s="266"/>
      <c r="F73" s="266"/>
      <c r="G73" s="266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spans="1:22" ht="15.6" x14ac:dyDescent="0.3">
      <c r="A74" s="33"/>
      <c r="B74" s="267"/>
      <c r="C74" s="267"/>
      <c r="D74" s="267"/>
      <c r="E74" s="82"/>
      <c r="F74" s="92"/>
      <c r="G74" s="82"/>
      <c r="H74" s="82"/>
      <c r="I74" s="33"/>
      <c r="J74" s="33"/>
      <c r="K74" s="9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spans="1:22" x14ac:dyDescent="0.3">
      <c r="A75" s="33"/>
      <c r="B75" s="267"/>
      <c r="C75" s="297"/>
      <c r="D75" s="298"/>
      <c r="E75" s="91"/>
      <c r="F75" s="91"/>
      <c r="G75" s="91"/>
      <c r="H75" s="267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1:22" x14ac:dyDescent="0.3">
      <c r="A76" s="33"/>
      <c r="B76" s="267"/>
      <c r="C76" s="297"/>
      <c r="D76" s="298"/>
      <c r="E76" s="91"/>
      <c r="F76" s="91"/>
      <c r="G76" s="82"/>
      <c r="H76" s="267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1:22" x14ac:dyDescent="0.3">
      <c r="A77" s="33"/>
      <c r="B77" s="267"/>
      <c r="C77" s="297"/>
      <c r="D77" s="298"/>
      <c r="E77" s="91"/>
      <c r="F77" s="82"/>
      <c r="G77" s="82"/>
      <c r="H77" s="267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1:22" x14ac:dyDescent="0.3">
      <c r="A78" s="33"/>
      <c r="B78" s="267"/>
      <c r="C78" s="297"/>
      <c r="D78" s="298"/>
      <c r="E78" s="91"/>
      <c r="F78" s="91"/>
      <c r="G78" s="82"/>
      <c r="H78" s="267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1:22" x14ac:dyDescent="0.3">
      <c r="A79" s="33"/>
      <c r="B79" s="267"/>
      <c r="C79" s="297"/>
      <c r="D79" s="298"/>
      <c r="E79" s="91"/>
      <c r="F79" s="91"/>
      <c r="G79" s="82"/>
      <c r="H79" s="267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spans="1:22" x14ac:dyDescent="0.3">
      <c r="A80" s="33"/>
      <c r="B80" s="267"/>
      <c r="C80" s="297"/>
      <c r="D80" s="298"/>
      <c r="E80" s="91"/>
      <c r="F80" s="91"/>
      <c r="G80" s="82"/>
      <c r="H80" s="267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x14ac:dyDescent="0.3">
      <c r="A81" s="33"/>
      <c r="B81" s="267"/>
      <c r="C81" s="297"/>
      <c r="D81" s="298"/>
      <c r="E81" s="91"/>
      <c r="F81" s="91"/>
      <c r="G81" s="82"/>
      <c r="H81" s="267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1:22" x14ac:dyDescent="0.3">
      <c r="A82" s="33"/>
      <c r="B82" s="267"/>
      <c r="C82" s="297"/>
      <c r="D82" s="298"/>
      <c r="E82" s="91"/>
      <c r="F82" s="91"/>
      <c r="G82" s="91"/>
      <c r="H82" s="298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1:22" x14ac:dyDescent="0.3">
      <c r="A83" s="33"/>
      <c r="B83" s="267"/>
      <c r="C83" s="298"/>
      <c r="D83" s="298"/>
      <c r="E83" s="91"/>
      <c r="F83" s="91"/>
      <c r="G83" s="91"/>
      <c r="H83" s="298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1:22" x14ac:dyDescent="0.3">
      <c r="A84" s="33"/>
      <c r="B84" s="267"/>
      <c r="C84" s="298"/>
      <c r="D84" s="298"/>
      <c r="E84" s="91"/>
      <c r="F84" s="91"/>
      <c r="G84" s="91"/>
      <c r="H84" s="298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22" x14ac:dyDescent="0.3">
      <c r="A85" s="33"/>
      <c r="B85" s="267"/>
      <c r="C85" s="298"/>
      <c r="D85" s="298"/>
      <c r="E85" s="91"/>
      <c r="F85" s="91"/>
      <c r="G85" s="91"/>
      <c r="H85" s="298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1:22" x14ac:dyDescent="0.3">
      <c r="A86" s="33"/>
      <c r="B86" s="267"/>
      <c r="C86" s="298"/>
      <c r="D86" s="298"/>
      <c r="E86" s="91"/>
      <c r="F86" s="91"/>
      <c r="G86" s="91"/>
      <c r="H86" s="298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1:22" x14ac:dyDescent="0.3">
      <c r="A87" s="33"/>
      <c r="B87" s="267"/>
      <c r="C87" s="298"/>
      <c r="D87" s="298"/>
      <c r="E87" s="91"/>
      <c r="F87" s="91"/>
      <c r="G87" s="91"/>
      <c r="H87" s="298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1:22" x14ac:dyDescent="0.3">
      <c r="A88" s="33"/>
      <c r="B88" s="267"/>
      <c r="C88" s="298"/>
      <c r="D88" s="298"/>
      <c r="E88" s="91"/>
      <c r="F88" s="91"/>
      <c r="G88" s="91"/>
      <c r="H88" s="298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1:22" x14ac:dyDescent="0.3">
      <c r="A89" s="33"/>
      <c r="B89" s="267"/>
      <c r="C89" s="298"/>
      <c r="D89" s="298"/>
      <c r="E89" s="91"/>
      <c r="F89" s="91"/>
      <c r="G89" s="91"/>
      <c r="H89" s="298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 x14ac:dyDescent="0.3">
      <c r="A90" s="33"/>
      <c r="B90" s="267"/>
      <c r="C90" s="298"/>
      <c r="D90" s="298"/>
      <c r="E90" s="91"/>
      <c r="F90" s="91"/>
      <c r="G90" s="91"/>
      <c r="H90" s="298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1:22" x14ac:dyDescent="0.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 x14ac:dyDescent="0.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1:22" x14ac:dyDescent="0.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</sheetData>
  <sheetProtection sheet="1" objects="1" scenarios="1"/>
  <protectedRanges>
    <protectedRange sqref="C1:G5" name="Range1"/>
  </protectedRanges>
  <mergeCells count="42">
    <mergeCell ref="M59:U59"/>
    <mergeCell ref="M61:U61"/>
    <mergeCell ref="M63:U63"/>
    <mergeCell ref="E73:G73"/>
    <mergeCell ref="B74:D74"/>
    <mergeCell ref="H51:H59"/>
    <mergeCell ref="C52:C59"/>
    <mergeCell ref="D52:D55"/>
    <mergeCell ref="D56:D59"/>
    <mergeCell ref="J59:J60"/>
    <mergeCell ref="K59:K60"/>
    <mergeCell ref="B44:B59"/>
    <mergeCell ref="C44:C51"/>
    <mergeCell ref="D44:D47"/>
    <mergeCell ref="D48:D51"/>
    <mergeCell ref="H49:H50"/>
    <mergeCell ref="B75:B90"/>
    <mergeCell ref="C75:C82"/>
    <mergeCell ref="D75:D78"/>
    <mergeCell ref="H75:H77"/>
    <mergeCell ref="H78:H79"/>
    <mergeCell ref="D79:D82"/>
    <mergeCell ref="H80:H81"/>
    <mergeCell ref="H82:H90"/>
    <mergeCell ref="C83:C90"/>
    <mergeCell ref="D83:D86"/>
    <mergeCell ref="D87:D90"/>
    <mergeCell ref="H19:R19"/>
    <mergeCell ref="B20:B35"/>
    <mergeCell ref="H32:R32"/>
    <mergeCell ref="G41:H41"/>
    <mergeCell ref="B42:F42"/>
    <mergeCell ref="C2:F2"/>
    <mergeCell ref="H2:J7"/>
    <mergeCell ref="H9:J9"/>
    <mergeCell ref="L9:N9"/>
    <mergeCell ref="P9:R9"/>
    <mergeCell ref="B11:B18"/>
    <mergeCell ref="L11:N16"/>
    <mergeCell ref="P11:R16"/>
    <mergeCell ref="J17:L18"/>
    <mergeCell ref="N17:P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zoomScale="80" zoomScaleNormal="80" workbookViewId="0">
      <selection activeCell="M49" sqref="M49"/>
    </sheetView>
  </sheetViews>
  <sheetFormatPr defaultRowHeight="14.4" x14ac:dyDescent="0.3"/>
  <cols>
    <col min="1" max="1" width="19.109375" customWidth="1"/>
    <col min="2" max="2" width="3.33203125" bestFit="1" customWidth="1"/>
    <col min="3" max="3" width="4" bestFit="1" customWidth="1"/>
    <col min="4" max="4" width="32.88671875" bestFit="1" customWidth="1"/>
    <col min="6" max="6" width="13" customWidth="1"/>
    <col min="7" max="7" width="7.5546875" customWidth="1"/>
    <col min="8" max="8" width="29" bestFit="1" customWidth="1"/>
    <col min="9" max="9" width="20.88671875" customWidth="1"/>
    <col min="10" max="10" width="17.109375" customWidth="1"/>
    <col min="11" max="11" width="29" bestFit="1" customWidth="1"/>
    <col min="12" max="12" width="16.88671875" bestFit="1" customWidth="1"/>
    <col min="13" max="13" width="15.5546875" customWidth="1"/>
    <col min="14" max="14" width="13.44140625" customWidth="1"/>
    <col min="15" max="15" width="15.44140625" customWidth="1"/>
    <col min="16" max="16" width="5.5546875" customWidth="1"/>
    <col min="17" max="17" width="15.5546875" customWidth="1"/>
    <col min="18" max="18" width="12.44140625" customWidth="1"/>
    <col min="19" max="19" width="16" bestFit="1" customWidth="1"/>
  </cols>
  <sheetData>
    <row r="1" spans="1:16" x14ac:dyDescent="0.3">
      <c r="I1" s="32" t="s">
        <v>0</v>
      </c>
      <c r="J1" s="32"/>
      <c r="K1" s="32"/>
      <c r="L1" s="32"/>
      <c r="M1" s="32"/>
      <c r="N1" s="32"/>
      <c r="O1" s="32"/>
      <c r="P1" s="32"/>
    </row>
    <row r="4" spans="1:16" ht="15" thickBot="1" x14ac:dyDescent="0.35">
      <c r="B4" s="306" t="s">
        <v>1</v>
      </c>
      <c r="C4" s="306"/>
      <c r="D4" s="306"/>
      <c r="E4" s="306"/>
      <c r="F4" s="115" t="s">
        <v>72</v>
      </c>
    </row>
    <row r="5" spans="1:16" ht="15" thickBot="1" x14ac:dyDescent="0.35">
      <c r="A5" s="1" t="s">
        <v>4</v>
      </c>
      <c r="B5" s="13">
        <v>7</v>
      </c>
      <c r="C5" s="14">
        <v>8</v>
      </c>
      <c r="D5" s="14">
        <v>0</v>
      </c>
      <c r="E5" s="15">
        <v>72</v>
      </c>
      <c r="F5" s="19">
        <v>29</v>
      </c>
    </row>
    <row r="6" spans="1:16" ht="15" thickBot="1" x14ac:dyDescent="0.35">
      <c r="A6" s="1"/>
    </row>
    <row r="7" spans="1:16" ht="15" thickBot="1" x14ac:dyDescent="0.35">
      <c r="A7" s="1" t="s">
        <v>5</v>
      </c>
      <c r="B7" s="113">
        <v>7</v>
      </c>
      <c r="C7" s="114">
        <v>8</v>
      </c>
      <c r="D7" s="114">
        <v>0</v>
      </c>
      <c r="E7" s="114">
        <v>80</v>
      </c>
      <c r="F7" s="16">
        <v>28</v>
      </c>
    </row>
    <row r="8" spans="1:16" x14ac:dyDescent="0.3">
      <c r="A8" s="1"/>
      <c r="B8" s="1"/>
      <c r="C8" s="1"/>
      <c r="D8" s="1"/>
      <c r="E8" s="1"/>
      <c r="F8" s="1"/>
      <c r="G8" s="1"/>
    </row>
    <row r="9" spans="1:16" x14ac:dyDescent="0.3">
      <c r="A9" s="1"/>
      <c r="B9" s="1"/>
      <c r="C9" s="1"/>
      <c r="D9" s="1"/>
      <c r="E9" s="1"/>
      <c r="F9" s="1"/>
      <c r="G9" s="1"/>
    </row>
    <row r="11" spans="1:16" x14ac:dyDescent="0.3">
      <c r="B11" s="115"/>
      <c r="C11" s="115"/>
    </row>
    <row r="12" spans="1:16" x14ac:dyDescent="0.3">
      <c r="A12" s="307" t="str">
        <f>CONCATENATE($B$5,".",$C$5,".",$D$5,".",$E$5,"/",$F$5)</f>
        <v>7.8.0.72/29</v>
      </c>
      <c r="B12" s="24" t="s">
        <v>9</v>
      </c>
      <c r="C12" s="25">
        <f>E5</f>
        <v>72</v>
      </c>
      <c r="D12" s="26" t="s">
        <v>58</v>
      </c>
      <c r="E12" s="116"/>
    </row>
    <row r="13" spans="1:16" x14ac:dyDescent="0.3">
      <c r="A13" s="307"/>
      <c r="B13" s="27" t="s">
        <v>11</v>
      </c>
      <c r="C13" s="25">
        <f>C12+1</f>
        <v>73</v>
      </c>
      <c r="D13" s="26" t="s">
        <v>78</v>
      </c>
      <c r="E13" s="116"/>
    </row>
    <row r="14" spans="1:16" x14ac:dyDescent="0.3">
      <c r="A14" s="307"/>
      <c r="B14" s="27" t="s">
        <v>14</v>
      </c>
      <c r="C14" s="25">
        <f t="shared" ref="C14:C19" si="0">C13+1</f>
        <v>74</v>
      </c>
      <c r="D14" s="26" t="s">
        <v>77</v>
      </c>
      <c r="E14" s="117"/>
    </row>
    <row r="15" spans="1:16" x14ac:dyDescent="0.3">
      <c r="A15" s="307"/>
      <c r="B15" s="27" t="s">
        <v>16</v>
      </c>
      <c r="C15" s="25">
        <f t="shared" si="0"/>
        <v>75</v>
      </c>
      <c r="D15" s="26" t="s">
        <v>77</v>
      </c>
      <c r="E15" s="116"/>
    </row>
    <row r="16" spans="1:16" x14ac:dyDescent="0.3">
      <c r="A16" s="307"/>
      <c r="B16" s="27" t="s">
        <v>17</v>
      </c>
      <c r="C16" s="25">
        <f t="shared" si="0"/>
        <v>76</v>
      </c>
      <c r="D16" s="118" t="s">
        <v>147</v>
      </c>
      <c r="E16" s="116"/>
      <c r="H16" t="s">
        <v>59</v>
      </c>
    </row>
    <row r="17" spans="1:19" x14ac:dyDescent="0.3">
      <c r="A17" s="307"/>
      <c r="B17" s="27" t="s">
        <v>19</v>
      </c>
      <c r="C17" s="25">
        <f t="shared" si="0"/>
        <v>77</v>
      </c>
      <c r="D17" s="26" t="s">
        <v>20</v>
      </c>
      <c r="E17" s="116"/>
    </row>
    <row r="18" spans="1:19" x14ac:dyDescent="0.3">
      <c r="A18" s="307"/>
      <c r="B18" s="27" t="s">
        <v>21</v>
      </c>
      <c r="C18" s="25">
        <f t="shared" si="0"/>
        <v>78</v>
      </c>
      <c r="D18" s="26" t="s">
        <v>20</v>
      </c>
      <c r="E18" s="116"/>
    </row>
    <row r="19" spans="1:19" x14ac:dyDescent="0.3">
      <c r="A19" s="307"/>
      <c r="B19" s="27" t="s">
        <v>22</v>
      </c>
      <c r="C19" s="25">
        <f t="shared" si="0"/>
        <v>79</v>
      </c>
      <c r="D19" s="26" t="s">
        <v>79</v>
      </c>
      <c r="E19" s="116"/>
    </row>
    <row r="20" spans="1:19" x14ac:dyDescent="0.3">
      <c r="A20" s="20"/>
      <c r="B20" s="20"/>
      <c r="C20" s="20"/>
      <c r="D20" s="21"/>
    </row>
    <row r="21" spans="1:19" x14ac:dyDescent="0.3">
      <c r="A21" s="308" t="str">
        <f>CONCATENATE($B$7,".",$C$7,".",$D$7,".",$E$7,"/",$F$7)</f>
        <v>7.8.0.80/28</v>
      </c>
      <c r="B21" s="22" t="s">
        <v>9</v>
      </c>
      <c r="C21" s="22">
        <f>E$7+B21</f>
        <v>80</v>
      </c>
      <c r="D21" s="23" t="s">
        <v>25</v>
      </c>
    </row>
    <row r="22" spans="1:19" ht="15" thickBot="1" x14ac:dyDescent="0.35">
      <c r="A22" s="309"/>
      <c r="B22" s="22" t="s">
        <v>11</v>
      </c>
      <c r="C22" s="22">
        <f t="shared" ref="C22:C36" si="1">E$7+B22</f>
        <v>81</v>
      </c>
      <c r="D22" s="23" t="s">
        <v>117</v>
      </c>
    </row>
    <row r="23" spans="1:19" ht="15" thickBot="1" x14ac:dyDescent="0.35">
      <c r="A23" s="309"/>
      <c r="B23" s="22" t="s">
        <v>14</v>
      </c>
      <c r="C23" s="22">
        <f t="shared" si="1"/>
        <v>82</v>
      </c>
      <c r="D23" s="29" t="s">
        <v>121</v>
      </c>
      <c r="H23" s="311" t="s">
        <v>119</v>
      </c>
      <c r="I23" s="312"/>
      <c r="K23" s="311" t="s">
        <v>120</v>
      </c>
      <c r="L23" s="312"/>
      <c r="M23" s="115"/>
      <c r="O23" s="115"/>
      <c r="Q23" s="115"/>
      <c r="S23" s="115"/>
    </row>
    <row r="24" spans="1:19" x14ac:dyDescent="0.3">
      <c r="A24" s="309"/>
      <c r="B24" s="22" t="s">
        <v>16</v>
      </c>
      <c r="C24" s="22">
        <f t="shared" si="1"/>
        <v>83</v>
      </c>
      <c r="D24" s="29" t="s">
        <v>118</v>
      </c>
      <c r="H24" s="119" t="s">
        <v>1</v>
      </c>
      <c r="I24" s="139" t="str">
        <f>CONCATENATE($B$5,".",$C$5,".",$D$5,".",$E$5,"/",$F$5)</f>
        <v>7.8.0.72/29</v>
      </c>
      <c r="K24" s="119" t="s">
        <v>1</v>
      </c>
      <c r="L24" s="140" t="str">
        <f>CONCATENATE($B$7,".",$C$7,".",$D$7,".",$E$7,"/",28)</f>
        <v>7.8.0.80/28</v>
      </c>
      <c r="M24" s="115"/>
      <c r="O24" s="115"/>
      <c r="Q24" s="115"/>
      <c r="S24" s="115"/>
    </row>
    <row r="25" spans="1:19" x14ac:dyDescent="0.3">
      <c r="A25" s="309"/>
      <c r="B25" s="22" t="s">
        <v>17</v>
      </c>
      <c r="C25" s="22">
        <f t="shared" si="1"/>
        <v>84</v>
      </c>
      <c r="D25" s="29" t="s">
        <v>122</v>
      </c>
      <c r="H25" s="120" t="s">
        <v>123</v>
      </c>
      <c r="I25" s="108" t="str">
        <f>CONCATENATE($B$5,".",$C$5,".",$D$5,".",$E$5+4)</f>
        <v>7.8.0.76</v>
      </c>
      <c r="K25" s="120" t="s">
        <v>124</v>
      </c>
      <c r="L25" s="108" t="str">
        <f>CONCATENATE($B$7,".",$C$7,".",$D$7,".",$E$7+4)</f>
        <v>7.8.0.84</v>
      </c>
      <c r="M25" s="115"/>
      <c r="O25" s="115"/>
      <c r="Q25" s="115"/>
      <c r="S25" s="115"/>
    </row>
    <row r="26" spans="1:19" x14ac:dyDescent="0.3">
      <c r="A26" s="309"/>
      <c r="B26" s="22" t="s">
        <v>19</v>
      </c>
      <c r="C26" s="22">
        <f t="shared" si="1"/>
        <v>85</v>
      </c>
      <c r="D26" s="29" t="s">
        <v>126</v>
      </c>
      <c r="H26" s="120" t="s">
        <v>33</v>
      </c>
      <c r="I26" s="138" t="str">
        <f>VLOOKUP($F$5,'[1](servizio)'!$A$2:$B$24,2)</f>
        <v>255.255.255.248</v>
      </c>
      <c r="K26" s="120" t="s">
        <v>33</v>
      </c>
      <c r="L26" s="138" t="str">
        <f>VLOOKUP($F$7,'[1](servizio)'!$A$2:$B$25,2)</f>
        <v>255.255.255.240</v>
      </c>
      <c r="M26" s="115"/>
      <c r="O26" s="115"/>
      <c r="Q26" s="115"/>
      <c r="S26" s="115"/>
    </row>
    <row r="27" spans="1:19" x14ac:dyDescent="0.3">
      <c r="A27" s="309"/>
      <c r="B27" s="22" t="s">
        <v>21</v>
      </c>
      <c r="C27" s="22">
        <f t="shared" si="1"/>
        <v>86</v>
      </c>
      <c r="D27" s="29" t="s">
        <v>125</v>
      </c>
      <c r="H27" s="121" t="s">
        <v>129</v>
      </c>
      <c r="I27" s="108" t="str">
        <f>CONCATENATE($B$7,".",$C$7,".",$D$7,".",$E$7+2)</f>
        <v>7.8.0.82</v>
      </c>
      <c r="K27" s="121" t="s">
        <v>130</v>
      </c>
      <c r="L27" s="108" t="str">
        <f>CONCATENATE($B$7,".",$C$7,".",$D$7,".",$E$7+5)</f>
        <v>7.8.0.85</v>
      </c>
      <c r="M27" s="115"/>
      <c r="O27" s="115"/>
      <c r="Q27" s="115"/>
      <c r="S27" s="115"/>
    </row>
    <row r="28" spans="1:19" x14ac:dyDescent="0.3">
      <c r="A28" s="309"/>
      <c r="B28" s="22" t="s">
        <v>22</v>
      </c>
      <c r="C28" s="22">
        <f t="shared" si="1"/>
        <v>87</v>
      </c>
      <c r="D28" s="23" t="s">
        <v>20</v>
      </c>
      <c r="H28" s="121" t="s">
        <v>127</v>
      </c>
      <c r="I28" s="108" t="str">
        <f>CONCATENATE($B$7,".",$C$7,".",$D$7,".",$E$7+3)</f>
        <v>7.8.0.83</v>
      </c>
      <c r="K28" s="121" t="s">
        <v>128</v>
      </c>
      <c r="L28" s="108" t="str">
        <f>CONCATENATE($B$7,".",$C$7,".",$D$7,".",$E$7+6)</f>
        <v>7.8.0.86</v>
      </c>
      <c r="M28" s="115"/>
      <c r="O28" s="115"/>
      <c r="Q28" s="115"/>
      <c r="S28" s="115"/>
    </row>
    <row r="29" spans="1:19" x14ac:dyDescent="0.3">
      <c r="A29" s="309"/>
      <c r="B29" s="22" t="s">
        <v>36</v>
      </c>
      <c r="C29" s="22">
        <f t="shared" si="1"/>
        <v>88</v>
      </c>
      <c r="D29" s="23" t="s">
        <v>20</v>
      </c>
      <c r="H29" s="121" t="s">
        <v>33</v>
      </c>
      <c r="I29" s="138" t="str">
        <f>VLOOKUP($F$7,'[1](servizio)'!$A$2:$B$25,2)</f>
        <v>255.255.255.240</v>
      </c>
      <c r="K29" s="121" t="s">
        <v>33</v>
      </c>
      <c r="L29" s="138" t="str">
        <f>VLOOKUP($F$7,'[1](servizio)'!$A$2:$B$25,2)</f>
        <v>255.255.255.240</v>
      </c>
    </row>
    <row r="30" spans="1:19" x14ac:dyDescent="0.3">
      <c r="A30" s="309"/>
      <c r="B30" s="22" t="s">
        <v>38</v>
      </c>
      <c r="C30" s="22">
        <f t="shared" si="1"/>
        <v>89</v>
      </c>
      <c r="D30" s="23" t="s">
        <v>20</v>
      </c>
      <c r="M30" s="115"/>
      <c r="O30" s="115"/>
      <c r="Q30" s="115"/>
      <c r="S30" s="115"/>
    </row>
    <row r="31" spans="1:19" x14ac:dyDescent="0.3">
      <c r="A31" s="309"/>
      <c r="B31" s="22" t="s">
        <v>39</v>
      </c>
      <c r="C31" s="22">
        <f t="shared" si="1"/>
        <v>90</v>
      </c>
      <c r="D31" s="23" t="s">
        <v>20</v>
      </c>
      <c r="H31" s="1"/>
      <c r="I31" s="115"/>
    </row>
    <row r="32" spans="1:19" x14ac:dyDescent="0.3">
      <c r="A32" s="309"/>
      <c r="B32" s="22" t="s">
        <v>40</v>
      </c>
      <c r="C32" s="22">
        <f t="shared" si="1"/>
        <v>91</v>
      </c>
      <c r="D32" s="23" t="s">
        <v>20</v>
      </c>
      <c r="H32" s="313" t="s">
        <v>53</v>
      </c>
      <c r="I32" s="313"/>
      <c r="K32" s="314"/>
      <c r="L32" s="314"/>
      <c r="M32" s="11"/>
      <c r="N32" s="11"/>
      <c r="O32" s="11"/>
      <c r="P32" s="11"/>
      <c r="Q32" s="11"/>
      <c r="R32" s="11"/>
      <c r="S32" s="11"/>
    </row>
    <row r="33" spans="1:19" x14ac:dyDescent="0.3">
      <c r="A33" s="309"/>
      <c r="B33" s="22" t="s">
        <v>41</v>
      </c>
      <c r="C33" s="22">
        <f t="shared" si="1"/>
        <v>92</v>
      </c>
      <c r="D33" s="23" t="s">
        <v>20</v>
      </c>
      <c r="H33" s="122" t="s">
        <v>54</v>
      </c>
      <c r="I33" s="112" t="s">
        <v>55</v>
      </c>
      <c r="K33" s="8"/>
      <c r="L33" s="11"/>
      <c r="M33" s="11"/>
      <c r="N33" s="11"/>
      <c r="O33" s="11"/>
      <c r="P33" s="11"/>
      <c r="Q33" s="11"/>
      <c r="R33" s="11"/>
      <c r="S33" s="11"/>
    </row>
    <row r="34" spans="1:19" ht="15" thickBot="1" x14ac:dyDescent="0.35">
      <c r="A34" s="309"/>
      <c r="B34" s="22" t="s">
        <v>43</v>
      </c>
      <c r="C34" s="22">
        <f t="shared" si="1"/>
        <v>93</v>
      </c>
      <c r="D34" s="23" t="s">
        <v>20</v>
      </c>
      <c r="H34" s="123" t="s">
        <v>146</v>
      </c>
      <c r="I34" s="112" t="str">
        <f>CONCATENATE($B$5,".",$C$5,".",$D$5,".",$E$5+1)</f>
        <v>7.8.0.73</v>
      </c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3">
      <c r="A35" s="309"/>
      <c r="B35" s="22" t="s">
        <v>45</v>
      </c>
      <c r="C35" s="22">
        <f t="shared" si="1"/>
        <v>94</v>
      </c>
      <c r="D35" s="23" t="s">
        <v>20</v>
      </c>
      <c r="H35" s="111"/>
      <c r="I35" s="112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3">
      <c r="A36" s="310"/>
      <c r="B36" s="22" t="s">
        <v>47</v>
      </c>
      <c r="C36" s="22">
        <f t="shared" si="1"/>
        <v>95</v>
      </c>
      <c r="D36" s="23" t="s">
        <v>131</v>
      </c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15" thickBot="1" x14ac:dyDescent="0.35"/>
    <row r="38" spans="1:19" ht="15" thickBot="1" x14ac:dyDescent="0.35">
      <c r="I38" s="303" t="s">
        <v>132</v>
      </c>
      <c r="J38" s="304"/>
      <c r="K38" s="305"/>
    </row>
    <row r="39" spans="1:19" ht="15" thickBot="1" x14ac:dyDescent="0.35">
      <c r="I39" s="124" t="s">
        <v>133</v>
      </c>
      <c r="K39" s="124" t="s">
        <v>134</v>
      </c>
    </row>
    <row r="40" spans="1:19" x14ac:dyDescent="0.3">
      <c r="I40" s="125" t="s">
        <v>46</v>
      </c>
      <c r="K40" s="125" t="s">
        <v>46</v>
      </c>
    </row>
    <row r="41" spans="1:19" ht="15" thickBot="1" x14ac:dyDescent="0.35">
      <c r="I41" s="126" t="s">
        <v>49</v>
      </c>
      <c r="K41" s="126" t="s">
        <v>49</v>
      </c>
    </row>
    <row r="42" spans="1:19" ht="15" thickBot="1" x14ac:dyDescent="0.35">
      <c r="I42" s="127" t="s">
        <v>50</v>
      </c>
      <c r="K42" s="127" t="s">
        <v>50</v>
      </c>
    </row>
    <row r="43" spans="1:19" x14ac:dyDescent="0.3">
      <c r="I43" s="128" t="s">
        <v>51</v>
      </c>
      <c r="K43" s="128" t="s">
        <v>51</v>
      </c>
    </row>
    <row r="44" spans="1:19" ht="15" thickBot="1" x14ac:dyDescent="0.35">
      <c r="I44" s="129" t="s">
        <v>135</v>
      </c>
      <c r="K44" s="129" t="s">
        <v>135</v>
      </c>
    </row>
    <row r="46" spans="1:19" ht="15" thickBot="1" x14ac:dyDescent="0.35"/>
    <row r="47" spans="1:19" ht="15" thickBot="1" x14ac:dyDescent="0.35">
      <c r="I47" s="127" t="s">
        <v>142</v>
      </c>
      <c r="K47" s="127" t="s">
        <v>143</v>
      </c>
    </row>
    <row r="48" spans="1:19" x14ac:dyDescent="0.3">
      <c r="I48" s="125" t="s">
        <v>138</v>
      </c>
      <c r="K48" s="125" t="s">
        <v>138</v>
      </c>
    </row>
    <row r="49" spans="9:11" ht="15" thickBot="1" x14ac:dyDescent="0.35">
      <c r="I49" s="126" t="s">
        <v>139</v>
      </c>
      <c r="K49" s="126" t="s">
        <v>140</v>
      </c>
    </row>
    <row r="50" spans="9:11" ht="15" thickBot="1" x14ac:dyDescent="0.35">
      <c r="I50" s="127" t="s">
        <v>50</v>
      </c>
      <c r="K50" s="127" t="s">
        <v>50</v>
      </c>
    </row>
    <row r="51" spans="9:11" x14ac:dyDescent="0.3">
      <c r="I51" s="128" t="s">
        <v>141</v>
      </c>
      <c r="K51" s="128" t="s">
        <v>141</v>
      </c>
    </row>
    <row r="52" spans="9:11" ht="15" thickBot="1" x14ac:dyDescent="0.35">
      <c r="I52" s="129" t="s">
        <v>135</v>
      </c>
      <c r="K52" s="129" t="s">
        <v>135</v>
      </c>
    </row>
    <row r="53" spans="9:11" ht="15" thickBot="1" x14ac:dyDescent="0.35"/>
    <row r="54" spans="9:11" ht="15" thickBot="1" x14ac:dyDescent="0.35">
      <c r="I54" s="127" t="s">
        <v>136</v>
      </c>
      <c r="K54" s="127" t="s">
        <v>137</v>
      </c>
    </row>
    <row r="55" spans="9:11" x14ac:dyDescent="0.3">
      <c r="I55" s="125" t="s">
        <v>138</v>
      </c>
      <c r="K55" s="125" t="s">
        <v>138</v>
      </c>
    </row>
    <row r="56" spans="9:11" ht="15" thickBot="1" x14ac:dyDescent="0.35">
      <c r="I56" s="126" t="s">
        <v>144</v>
      </c>
      <c r="K56" s="126" t="s">
        <v>145</v>
      </c>
    </row>
    <row r="57" spans="9:11" ht="15" thickBot="1" x14ac:dyDescent="0.35">
      <c r="I57" s="127" t="s">
        <v>50</v>
      </c>
      <c r="K57" s="127" t="s">
        <v>50</v>
      </c>
    </row>
    <row r="58" spans="9:11" x14ac:dyDescent="0.3">
      <c r="I58" s="128" t="s">
        <v>141</v>
      </c>
      <c r="K58" s="128" t="s">
        <v>141</v>
      </c>
    </row>
    <row r="59" spans="9:11" ht="15" thickBot="1" x14ac:dyDescent="0.35">
      <c r="I59" s="129" t="s">
        <v>135</v>
      </c>
      <c r="K59" s="129" t="s">
        <v>135</v>
      </c>
    </row>
  </sheetData>
  <mergeCells count="8">
    <mergeCell ref="I38:K38"/>
    <mergeCell ref="B4:E4"/>
    <mergeCell ref="A12:A19"/>
    <mergeCell ref="A21:A36"/>
    <mergeCell ref="H23:I23"/>
    <mergeCell ref="K23:L23"/>
    <mergeCell ref="H32:I32"/>
    <mergeCell ref="K32:L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workbookViewId="0">
      <selection activeCell="F19" sqref="F19"/>
    </sheetView>
  </sheetViews>
  <sheetFormatPr defaultRowHeight="14.4" x14ac:dyDescent="0.3"/>
  <cols>
    <col min="1" max="1" width="19.109375" customWidth="1"/>
    <col min="2" max="2" width="3.33203125" bestFit="1" customWidth="1"/>
    <col min="3" max="3" width="4" bestFit="1" customWidth="1"/>
    <col min="4" max="4" width="35" bestFit="1" customWidth="1"/>
    <col min="6" max="6" width="13" customWidth="1"/>
    <col min="7" max="7" width="7.5546875" customWidth="1"/>
    <col min="8" max="8" width="29" bestFit="1" customWidth="1"/>
    <col min="9" max="9" width="20.88671875" customWidth="1"/>
    <col min="10" max="10" width="17.109375" customWidth="1"/>
    <col min="11" max="11" width="29" bestFit="1" customWidth="1"/>
    <col min="12" max="12" width="16.88671875" bestFit="1" customWidth="1"/>
    <col min="13" max="13" width="15.5546875" customWidth="1"/>
    <col min="14" max="14" width="13.44140625" customWidth="1"/>
    <col min="15" max="15" width="15.44140625" customWidth="1"/>
    <col min="16" max="16" width="5.5546875" customWidth="1"/>
    <col min="17" max="17" width="15.5546875" customWidth="1"/>
    <col min="18" max="18" width="12.44140625" customWidth="1"/>
    <col min="19" max="19" width="16" bestFit="1" customWidth="1"/>
  </cols>
  <sheetData>
    <row r="1" spans="1:16" x14ac:dyDescent="0.3">
      <c r="I1" s="32" t="s">
        <v>0</v>
      </c>
      <c r="J1" s="32"/>
      <c r="K1" s="32"/>
      <c r="L1" s="32"/>
      <c r="M1" s="32"/>
      <c r="N1" s="32"/>
      <c r="O1" s="32"/>
      <c r="P1" s="32"/>
    </row>
    <row r="4" spans="1:16" ht="15" thickBot="1" x14ac:dyDescent="0.35">
      <c r="B4" s="306" t="s">
        <v>1</v>
      </c>
      <c r="C4" s="306"/>
      <c r="D4" s="306"/>
      <c r="E4" s="306"/>
      <c r="F4" s="115" t="s">
        <v>72</v>
      </c>
    </row>
    <row r="5" spans="1:16" ht="15" thickBot="1" x14ac:dyDescent="0.35">
      <c r="A5" s="1" t="s">
        <v>4</v>
      </c>
      <c r="B5" s="13">
        <v>7</v>
      </c>
      <c r="C5" s="14">
        <v>8</v>
      </c>
      <c r="D5" s="14">
        <v>0</v>
      </c>
      <c r="E5" s="15">
        <v>72</v>
      </c>
      <c r="F5" s="19">
        <v>29</v>
      </c>
    </row>
    <row r="6" spans="1:16" ht="15" thickBot="1" x14ac:dyDescent="0.35">
      <c r="A6" s="1"/>
    </row>
    <row r="7" spans="1:16" ht="15" thickBot="1" x14ac:dyDescent="0.35">
      <c r="A7" s="1" t="s">
        <v>5</v>
      </c>
      <c r="B7" s="113">
        <v>7</v>
      </c>
      <c r="C7" s="114">
        <v>8</v>
      </c>
      <c r="D7" s="114">
        <v>0</v>
      </c>
      <c r="E7" s="114">
        <v>80</v>
      </c>
      <c r="F7" s="16">
        <v>28</v>
      </c>
    </row>
    <row r="8" spans="1:16" x14ac:dyDescent="0.3">
      <c r="A8" s="1"/>
      <c r="B8" s="1"/>
      <c r="C8" s="1"/>
      <c r="D8" s="1"/>
      <c r="E8" s="1"/>
      <c r="F8" s="1"/>
      <c r="G8" s="1"/>
    </row>
    <row r="9" spans="1:16" x14ac:dyDescent="0.3">
      <c r="A9" s="1"/>
      <c r="B9" s="1"/>
      <c r="C9" s="1"/>
      <c r="D9" s="1"/>
      <c r="E9" s="1"/>
      <c r="F9" s="1"/>
      <c r="G9" s="1"/>
    </row>
    <row r="11" spans="1:16" x14ac:dyDescent="0.3">
      <c r="B11" s="115"/>
      <c r="C11" s="115"/>
    </row>
    <row r="12" spans="1:16" x14ac:dyDescent="0.3">
      <c r="A12" s="307" t="str">
        <f>CONCATENATE($B$5,".",$C$5,".",$D$5,".",$E$5,"/",$F$5)</f>
        <v>7.8.0.72/29</v>
      </c>
      <c r="B12" s="24" t="s">
        <v>9</v>
      </c>
      <c r="C12" s="25">
        <f>E5</f>
        <v>72</v>
      </c>
      <c r="D12" s="26" t="s">
        <v>58</v>
      </c>
      <c r="E12" s="116"/>
    </row>
    <row r="13" spans="1:16" x14ac:dyDescent="0.3">
      <c r="A13" s="307"/>
      <c r="B13" s="27" t="s">
        <v>11</v>
      </c>
      <c r="C13" s="25">
        <f>C12+1</f>
        <v>73</v>
      </c>
      <c r="D13" s="26" t="s">
        <v>12</v>
      </c>
      <c r="E13" s="116"/>
    </row>
    <row r="14" spans="1:16" x14ac:dyDescent="0.3">
      <c r="A14" s="307"/>
      <c r="B14" s="27" t="s">
        <v>14</v>
      </c>
      <c r="C14" s="25">
        <f t="shared" ref="C14:C19" si="0">C13+1</f>
        <v>74</v>
      </c>
      <c r="D14" s="118" t="s">
        <v>148</v>
      </c>
      <c r="E14" s="117"/>
    </row>
    <row r="15" spans="1:16" x14ac:dyDescent="0.3">
      <c r="A15" s="307"/>
      <c r="B15" s="27" t="s">
        <v>16</v>
      </c>
      <c r="C15" s="25">
        <f t="shared" si="0"/>
        <v>75</v>
      </c>
      <c r="D15" s="26" t="s">
        <v>61</v>
      </c>
      <c r="E15" s="116"/>
    </row>
    <row r="16" spans="1:16" x14ac:dyDescent="0.3">
      <c r="A16" s="307"/>
      <c r="B16" s="27" t="s">
        <v>17</v>
      </c>
      <c r="C16" s="25">
        <f t="shared" si="0"/>
        <v>76</v>
      </c>
      <c r="D16" s="26" t="s">
        <v>61</v>
      </c>
      <c r="E16" s="116"/>
      <c r="H16" t="s">
        <v>59</v>
      </c>
    </row>
    <row r="17" spans="1:19" x14ac:dyDescent="0.3">
      <c r="A17" s="307"/>
      <c r="B17" s="27" t="s">
        <v>19</v>
      </c>
      <c r="C17" s="25">
        <f t="shared" si="0"/>
        <v>77</v>
      </c>
      <c r="D17" s="26" t="s">
        <v>61</v>
      </c>
      <c r="E17" s="116"/>
    </row>
    <row r="18" spans="1:19" x14ac:dyDescent="0.3">
      <c r="A18" s="307"/>
      <c r="B18" s="27" t="s">
        <v>21</v>
      </c>
      <c r="C18" s="25">
        <f t="shared" si="0"/>
        <v>78</v>
      </c>
      <c r="D18" s="26" t="s">
        <v>61</v>
      </c>
      <c r="E18" s="116"/>
    </row>
    <row r="19" spans="1:19" x14ac:dyDescent="0.3">
      <c r="A19" s="307"/>
      <c r="B19" s="27" t="s">
        <v>22</v>
      </c>
      <c r="C19" s="25">
        <f t="shared" si="0"/>
        <v>79</v>
      </c>
      <c r="D19" s="26" t="s">
        <v>62</v>
      </c>
      <c r="E19" s="116"/>
    </row>
    <row r="20" spans="1:19" x14ac:dyDescent="0.3">
      <c r="A20" s="20"/>
      <c r="B20" s="20"/>
      <c r="C20" s="20"/>
      <c r="D20" s="21"/>
    </row>
    <row r="21" spans="1:19" x14ac:dyDescent="0.3">
      <c r="A21" s="308" t="str">
        <f>CONCATENATE($B$7,".",$C$7,".",$D$7,".",$E$7,"/",$F$7)</f>
        <v>7.8.0.80/28</v>
      </c>
      <c r="B21" s="22" t="s">
        <v>9</v>
      </c>
      <c r="C21" s="22">
        <f t="shared" ref="C21:C36" si="1">E$7+B21</f>
        <v>80</v>
      </c>
      <c r="D21" s="23" t="s">
        <v>25</v>
      </c>
    </row>
    <row r="22" spans="1:19" ht="15" thickBot="1" x14ac:dyDescent="0.35">
      <c r="A22" s="309"/>
      <c r="B22" s="22" t="s">
        <v>11</v>
      </c>
      <c r="C22" s="22">
        <f t="shared" si="1"/>
        <v>81</v>
      </c>
      <c r="D22" s="23" t="s">
        <v>117</v>
      </c>
    </row>
    <row r="23" spans="1:19" ht="15" thickBot="1" x14ac:dyDescent="0.35">
      <c r="A23" s="309"/>
      <c r="B23" s="22" t="s">
        <v>14</v>
      </c>
      <c r="C23" s="22">
        <f t="shared" si="1"/>
        <v>82</v>
      </c>
      <c r="D23" s="29" t="s">
        <v>121</v>
      </c>
      <c r="H23" s="311" t="s">
        <v>119</v>
      </c>
      <c r="I23" s="312"/>
      <c r="K23" s="311" t="s">
        <v>120</v>
      </c>
      <c r="L23" s="312"/>
      <c r="M23" s="115"/>
      <c r="O23" s="115"/>
      <c r="Q23" s="115"/>
      <c r="S23" s="115"/>
    </row>
    <row r="24" spans="1:19" x14ac:dyDescent="0.3">
      <c r="A24" s="309"/>
      <c r="B24" s="22" t="s">
        <v>16</v>
      </c>
      <c r="C24" s="22">
        <f t="shared" si="1"/>
        <v>83</v>
      </c>
      <c r="D24" s="29" t="s">
        <v>118</v>
      </c>
      <c r="H24" s="119" t="s">
        <v>1</v>
      </c>
      <c r="I24" s="136" t="str">
        <f>CONCATENATE($B$5,".",$C$5,".",$D$5,".",$E$5,"/",$F$5)</f>
        <v>7.8.0.72/29</v>
      </c>
      <c r="K24" s="119" t="s">
        <v>1</v>
      </c>
      <c r="L24" s="137" t="str">
        <f>CONCATENATE($B$7,".",$C$7,".",$D$7,".",$E$7,"/",28)</f>
        <v>7.8.0.80/28</v>
      </c>
      <c r="M24" s="115"/>
      <c r="O24" s="115"/>
      <c r="Q24" s="115"/>
      <c r="S24" s="115"/>
    </row>
    <row r="25" spans="1:19" x14ac:dyDescent="0.3">
      <c r="A25" s="309"/>
      <c r="B25" s="22" t="s">
        <v>17</v>
      </c>
      <c r="C25" s="22">
        <f t="shared" si="1"/>
        <v>84</v>
      </c>
      <c r="D25" s="29" t="s">
        <v>122</v>
      </c>
      <c r="H25" s="120" t="s">
        <v>123</v>
      </c>
      <c r="I25" s="130" t="str">
        <f>CONCATENATE($B$5,".",$C$5,".",$D$5,".",$E$5+2)</f>
        <v>7.8.0.74</v>
      </c>
      <c r="K25" s="120" t="s">
        <v>124</v>
      </c>
      <c r="L25" s="134" t="str">
        <f>CONCATENATE($B$7,".",$C$7,".",$D$7,".",$E$7+4)</f>
        <v>7.8.0.84</v>
      </c>
      <c r="M25" s="115"/>
      <c r="O25" s="115"/>
      <c r="Q25" s="115"/>
      <c r="S25" s="115"/>
    </row>
    <row r="26" spans="1:19" x14ac:dyDescent="0.3">
      <c r="A26" s="309"/>
      <c r="B26" s="22" t="s">
        <v>19</v>
      </c>
      <c r="C26" s="22">
        <f t="shared" si="1"/>
        <v>85</v>
      </c>
      <c r="D26" s="29" t="s">
        <v>126</v>
      </c>
      <c r="H26" s="120" t="s">
        <v>33</v>
      </c>
      <c r="I26" s="135" t="str">
        <f>VLOOKUP($F$5,'[1](servizio)'!$A$2:$B$24,2)</f>
        <v>255.255.255.248</v>
      </c>
      <c r="K26" s="120" t="s">
        <v>33</v>
      </c>
      <c r="L26" s="135" t="str">
        <f>VLOOKUP($F$7,'[1](servizio)'!$A$2:$B$25,2)</f>
        <v>255.255.255.240</v>
      </c>
      <c r="M26" s="115"/>
      <c r="O26" s="115"/>
      <c r="Q26" s="115"/>
      <c r="S26" s="115"/>
    </row>
    <row r="27" spans="1:19" x14ac:dyDescent="0.3">
      <c r="A27" s="309"/>
      <c r="B27" s="22" t="s">
        <v>21</v>
      </c>
      <c r="C27" s="22">
        <f t="shared" si="1"/>
        <v>86</v>
      </c>
      <c r="D27" s="29" t="s">
        <v>125</v>
      </c>
      <c r="H27" s="120" t="s">
        <v>70</v>
      </c>
      <c r="I27" s="135">
        <v>3556</v>
      </c>
      <c r="K27" s="121" t="s">
        <v>130</v>
      </c>
      <c r="L27" s="134" t="str">
        <f>CONCATENATE($B$7,".",$C$7,".",$D$7,".",$E$7+5)</f>
        <v>7.8.0.85</v>
      </c>
      <c r="M27" s="115"/>
      <c r="O27" s="115"/>
      <c r="Q27" s="115"/>
      <c r="S27" s="115"/>
    </row>
    <row r="28" spans="1:19" x14ac:dyDescent="0.3">
      <c r="A28" s="309"/>
      <c r="B28" s="22" t="s">
        <v>22</v>
      </c>
      <c r="C28" s="22">
        <f t="shared" si="1"/>
        <v>87</v>
      </c>
      <c r="D28" s="23" t="s">
        <v>20</v>
      </c>
      <c r="H28" s="120" t="s">
        <v>71</v>
      </c>
      <c r="I28" s="135" t="s">
        <v>149</v>
      </c>
      <c r="K28" s="121" t="s">
        <v>128</v>
      </c>
      <c r="L28" s="134" t="str">
        <f>CONCATENATE($B$7,".",$C$7,".",$D$7,".",$E$7+6)</f>
        <v>7.8.0.86</v>
      </c>
      <c r="M28" s="115"/>
      <c r="O28" s="115"/>
      <c r="Q28" s="115"/>
      <c r="S28" s="115"/>
    </row>
    <row r="29" spans="1:19" x14ac:dyDescent="0.3">
      <c r="A29" s="309"/>
      <c r="B29" s="22" t="s">
        <v>36</v>
      </c>
      <c r="C29" s="22">
        <f t="shared" si="1"/>
        <v>88</v>
      </c>
      <c r="D29" s="23" t="s">
        <v>20</v>
      </c>
      <c r="H29" s="121" t="s">
        <v>129</v>
      </c>
      <c r="I29" s="134" t="str">
        <f>CONCATENATE($B$7,".",$C$7,".",$D$7,".",$E$7+2)</f>
        <v>7.8.0.82</v>
      </c>
      <c r="M29" s="115"/>
      <c r="O29" s="115"/>
      <c r="Q29" s="115"/>
      <c r="S29" s="115"/>
    </row>
    <row r="30" spans="1:19" x14ac:dyDescent="0.3">
      <c r="A30" s="309"/>
      <c r="B30" s="22" t="s">
        <v>38</v>
      </c>
      <c r="C30" s="22">
        <f t="shared" si="1"/>
        <v>89</v>
      </c>
      <c r="D30" s="23" t="s">
        <v>20</v>
      </c>
      <c r="H30" s="121" t="s">
        <v>127</v>
      </c>
      <c r="I30" s="134" t="str">
        <f>CONCATENATE($B$7,".",$C$7,".",$D$7,".",$E$7+3)</f>
        <v>7.8.0.83</v>
      </c>
      <c r="M30" s="115"/>
      <c r="O30" s="115"/>
      <c r="Q30" s="115"/>
      <c r="S30" s="115"/>
    </row>
    <row r="31" spans="1:19" x14ac:dyDescent="0.3">
      <c r="A31" s="309"/>
      <c r="B31" s="22" t="s">
        <v>39</v>
      </c>
      <c r="C31" s="22">
        <f t="shared" si="1"/>
        <v>90</v>
      </c>
      <c r="D31" s="23" t="s">
        <v>20</v>
      </c>
      <c r="H31" s="121" t="s">
        <v>33</v>
      </c>
      <c r="I31" s="135" t="str">
        <f>VLOOKUP($F$7,'[1](servizio)'!$A$2:$B$25,2)</f>
        <v>255.255.255.240</v>
      </c>
    </row>
    <row r="32" spans="1:19" x14ac:dyDescent="0.3">
      <c r="A32" s="309"/>
      <c r="B32" s="22" t="s">
        <v>40</v>
      </c>
      <c r="C32" s="22">
        <f t="shared" si="1"/>
        <v>91</v>
      </c>
      <c r="D32" s="23" t="s">
        <v>20</v>
      </c>
      <c r="M32" s="115"/>
      <c r="O32" s="115"/>
      <c r="Q32" s="115"/>
      <c r="S32" s="115"/>
    </row>
    <row r="33" spans="1:19" ht="15" thickBot="1" x14ac:dyDescent="0.35">
      <c r="A33" s="309"/>
      <c r="B33" s="22" t="s">
        <v>41</v>
      </c>
      <c r="C33" s="22">
        <f t="shared" si="1"/>
        <v>92</v>
      </c>
      <c r="D33" s="23" t="s">
        <v>20</v>
      </c>
      <c r="H33" s="1"/>
      <c r="I33" s="115"/>
    </row>
    <row r="34" spans="1:19" x14ac:dyDescent="0.3">
      <c r="A34" s="309"/>
      <c r="B34" s="22" t="s">
        <v>43</v>
      </c>
      <c r="C34" s="22">
        <f t="shared" si="1"/>
        <v>93</v>
      </c>
      <c r="D34" s="23" t="s">
        <v>20</v>
      </c>
      <c r="H34" s="315" t="s">
        <v>53</v>
      </c>
      <c r="I34" s="316"/>
      <c r="K34" s="314"/>
      <c r="L34" s="314"/>
      <c r="M34" s="11"/>
      <c r="N34" s="11"/>
      <c r="O34" s="11"/>
      <c r="P34" s="11"/>
      <c r="Q34" s="11"/>
      <c r="R34" s="11"/>
      <c r="S34" s="11"/>
    </row>
    <row r="35" spans="1:19" x14ac:dyDescent="0.3">
      <c r="A35" s="309"/>
      <c r="B35" s="22" t="s">
        <v>45</v>
      </c>
      <c r="C35" s="22">
        <f t="shared" si="1"/>
        <v>94</v>
      </c>
      <c r="D35" s="23" t="s">
        <v>20</v>
      </c>
      <c r="H35" s="122" t="s">
        <v>54</v>
      </c>
      <c r="I35" s="131" t="s">
        <v>55</v>
      </c>
      <c r="K35" s="8"/>
      <c r="L35" s="11"/>
      <c r="M35" s="11"/>
      <c r="N35" s="11"/>
      <c r="O35" s="11"/>
      <c r="P35" s="11"/>
      <c r="Q35" s="11"/>
      <c r="R35" s="11"/>
      <c r="S35" s="11"/>
    </row>
    <row r="36" spans="1:19" ht="15" thickBot="1" x14ac:dyDescent="0.35">
      <c r="A36" s="310"/>
      <c r="B36" s="22" t="s">
        <v>47</v>
      </c>
      <c r="C36" s="22">
        <f t="shared" si="1"/>
        <v>95</v>
      </c>
      <c r="D36" s="23" t="s">
        <v>131</v>
      </c>
      <c r="H36" s="123" t="s">
        <v>56</v>
      </c>
      <c r="I36" s="132" t="str">
        <f>CONCATENATE($B$5,".",$C$5,".",$D$5,".",$E$5+1)</f>
        <v>7.8.0.73</v>
      </c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3">
      <c r="H37" s="133"/>
      <c r="I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x14ac:dyDescent="0.3"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15" thickBot="1" x14ac:dyDescent="0.35"/>
    <row r="40" spans="1:19" ht="15" thickBot="1" x14ac:dyDescent="0.35">
      <c r="I40" s="303" t="s">
        <v>132</v>
      </c>
      <c r="J40" s="304"/>
      <c r="K40" s="305"/>
    </row>
    <row r="41" spans="1:19" ht="15" thickBot="1" x14ac:dyDescent="0.35">
      <c r="I41" s="124" t="s">
        <v>133</v>
      </c>
      <c r="K41" s="124" t="s">
        <v>134</v>
      </c>
    </row>
    <row r="42" spans="1:19" x14ac:dyDescent="0.3">
      <c r="I42" s="125" t="s">
        <v>46</v>
      </c>
      <c r="K42" s="125" t="s">
        <v>46</v>
      </c>
    </row>
    <row r="43" spans="1:19" ht="15" thickBot="1" x14ac:dyDescent="0.35">
      <c r="I43" s="126" t="s">
        <v>49</v>
      </c>
      <c r="K43" s="126" t="s">
        <v>49</v>
      </c>
    </row>
    <row r="44" spans="1:19" ht="15" thickBot="1" x14ac:dyDescent="0.35">
      <c r="I44" s="127" t="s">
        <v>50</v>
      </c>
      <c r="K44" s="127" t="s">
        <v>50</v>
      </c>
    </row>
    <row r="45" spans="1:19" x14ac:dyDescent="0.3">
      <c r="I45" s="128" t="s">
        <v>51</v>
      </c>
      <c r="K45" s="128" t="s">
        <v>51</v>
      </c>
    </row>
    <row r="46" spans="1:19" ht="15" thickBot="1" x14ac:dyDescent="0.35">
      <c r="I46" s="129" t="s">
        <v>135</v>
      </c>
      <c r="K46" s="129" t="s">
        <v>135</v>
      </c>
    </row>
    <row r="47" spans="1:19" ht="15" thickBot="1" x14ac:dyDescent="0.35"/>
    <row r="48" spans="1:19" ht="15" thickBot="1" x14ac:dyDescent="0.35">
      <c r="I48" s="127" t="s">
        <v>142</v>
      </c>
      <c r="K48" s="127" t="s">
        <v>143</v>
      </c>
    </row>
    <row r="49" spans="9:11" x14ac:dyDescent="0.3">
      <c r="I49" s="125" t="s">
        <v>138</v>
      </c>
      <c r="K49" s="125" t="s">
        <v>138</v>
      </c>
    </row>
    <row r="50" spans="9:11" ht="15" thickBot="1" x14ac:dyDescent="0.35">
      <c r="I50" s="126" t="s">
        <v>139</v>
      </c>
      <c r="K50" s="126" t="s">
        <v>140</v>
      </c>
    </row>
    <row r="51" spans="9:11" ht="15" thickBot="1" x14ac:dyDescent="0.35">
      <c r="I51" s="127" t="s">
        <v>50</v>
      </c>
      <c r="K51" s="127" t="s">
        <v>50</v>
      </c>
    </row>
    <row r="52" spans="9:11" x14ac:dyDescent="0.3">
      <c r="I52" s="128" t="s">
        <v>141</v>
      </c>
      <c r="K52" s="128" t="s">
        <v>141</v>
      </c>
    </row>
    <row r="53" spans="9:11" ht="15" thickBot="1" x14ac:dyDescent="0.35">
      <c r="I53" s="129" t="s">
        <v>135</v>
      </c>
      <c r="K53" s="129" t="s">
        <v>135</v>
      </c>
    </row>
    <row r="54" spans="9:11" ht="15" thickBot="1" x14ac:dyDescent="0.35"/>
    <row r="55" spans="9:11" ht="15" thickBot="1" x14ac:dyDescent="0.35">
      <c r="I55" s="127" t="s">
        <v>136</v>
      </c>
      <c r="K55" s="127" t="s">
        <v>137</v>
      </c>
    </row>
    <row r="56" spans="9:11" x14ac:dyDescent="0.3">
      <c r="I56" s="125" t="s">
        <v>138</v>
      </c>
      <c r="K56" s="125" t="s">
        <v>138</v>
      </c>
    </row>
    <row r="57" spans="9:11" ht="15" thickBot="1" x14ac:dyDescent="0.35">
      <c r="I57" s="126" t="s">
        <v>144</v>
      </c>
      <c r="K57" s="126" t="s">
        <v>145</v>
      </c>
    </row>
    <row r="58" spans="9:11" ht="15" thickBot="1" x14ac:dyDescent="0.35">
      <c r="I58" s="127" t="s">
        <v>50</v>
      </c>
      <c r="K58" s="127" t="s">
        <v>50</v>
      </c>
    </row>
    <row r="59" spans="9:11" x14ac:dyDescent="0.3">
      <c r="I59" s="128" t="s">
        <v>141</v>
      </c>
      <c r="K59" s="128" t="s">
        <v>141</v>
      </c>
    </row>
    <row r="60" spans="9:11" ht="15" thickBot="1" x14ac:dyDescent="0.35">
      <c r="I60" s="129" t="s">
        <v>135</v>
      </c>
      <c r="K60" s="129" t="s">
        <v>135</v>
      </c>
    </row>
  </sheetData>
  <mergeCells count="8">
    <mergeCell ref="I40:K40"/>
    <mergeCell ref="B4:E4"/>
    <mergeCell ref="A12:A19"/>
    <mergeCell ref="A21:A36"/>
    <mergeCell ref="H23:I23"/>
    <mergeCell ref="K23:L23"/>
    <mergeCell ref="H34:I34"/>
    <mergeCell ref="K34:L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B1:R94"/>
  <sheetViews>
    <sheetView showGridLines="0" zoomScale="70" zoomScaleNormal="70" workbookViewId="0">
      <selection activeCell="K77" sqref="K77"/>
    </sheetView>
  </sheetViews>
  <sheetFormatPr defaultRowHeight="14.4" x14ac:dyDescent="0.3"/>
  <cols>
    <col min="1" max="1" width="1.109375" customWidth="1"/>
    <col min="2" max="2" width="27.6640625" bestFit="1" customWidth="1"/>
    <col min="5" max="5" width="27.21875" bestFit="1" customWidth="1"/>
    <col min="6" max="6" width="10.109375" customWidth="1"/>
    <col min="7" max="7" width="41.88671875" bestFit="1" customWidth="1"/>
    <col min="8" max="8" width="25.33203125" bestFit="1" customWidth="1"/>
    <col min="9" max="9" width="14.6640625" customWidth="1"/>
    <col min="10" max="10" width="27" customWidth="1"/>
    <col min="11" max="11" width="19.5546875" customWidth="1"/>
    <col min="12" max="12" width="25.5546875" bestFit="1" customWidth="1"/>
    <col min="13" max="13" width="2.88671875" customWidth="1"/>
    <col min="14" max="14" width="26.88671875" customWidth="1"/>
    <col min="15" max="15" width="2.44140625" customWidth="1"/>
    <col min="16" max="16" width="22.5546875" bestFit="1" customWidth="1"/>
    <col min="17" max="17" width="12.6640625" customWidth="1"/>
    <col min="18" max="18" width="20" customWidth="1"/>
  </cols>
  <sheetData>
    <row r="1" spans="2:16" x14ac:dyDescent="0.3">
      <c r="I1" s="32" t="s">
        <v>0</v>
      </c>
      <c r="J1" s="32"/>
      <c r="K1" s="32"/>
      <c r="L1" s="32"/>
      <c r="M1" s="32"/>
      <c r="N1" s="32"/>
      <c r="O1" s="32"/>
      <c r="P1" s="32"/>
    </row>
    <row r="2" spans="2:16" ht="15" thickBot="1" x14ac:dyDescent="0.35">
      <c r="E2" s="110" t="s">
        <v>1</v>
      </c>
      <c r="G2" s="110" t="s">
        <v>2</v>
      </c>
    </row>
    <row r="3" spans="2:16" ht="15" thickBot="1" x14ac:dyDescent="0.35">
      <c r="B3" s="207"/>
      <c r="C3" s="206"/>
      <c r="D3" s="216"/>
      <c r="E3" s="216"/>
      <c r="F3" s="216"/>
      <c r="G3" s="205"/>
    </row>
    <row r="4" spans="2:16" ht="15.75" customHeight="1" thickBot="1" x14ac:dyDescent="0.35">
      <c r="B4" s="197" t="s">
        <v>159</v>
      </c>
      <c r="C4" s="215">
        <v>10</v>
      </c>
      <c r="D4" s="214">
        <v>10</v>
      </c>
      <c r="E4" s="214">
        <v>10</v>
      </c>
      <c r="F4" s="213">
        <v>0</v>
      </c>
      <c r="G4" s="212">
        <v>29</v>
      </c>
      <c r="K4" s="332"/>
      <c r="L4" s="332"/>
      <c r="M4" s="332"/>
      <c r="N4" s="332"/>
    </row>
    <row r="5" spans="2:16" ht="16.2" thickBot="1" x14ac:dyDescent="0.35">
      <c r="B5" s="200"/>
      <c r="G5" s="199"/>
      <c r="K5" s="198"/>
      <c r="L5" s="198"/>
      <c r="M5" s="198"/>
      <c r="N5" s="198"/>
    </row>
    <row r="6" spans="2:16" ht="17.25" customHeight="1" thickBot="1" x14ac:dyDescent="0.4">
      <c r="B6" s="197" t="s">
        <v>158</v>
      </c>
      <c r="C6" s="211">
        <v>20</v>
      </c>
      <c r="D6" s="210">
        <v>20</v>
      </c>
      <c r="E6" s="210">
        <v>20</v>
      </c>
      <c r="F6" s="209">
        <v>0</v>
      </c>
      <c r="G6" s="208">
        <v>28</v>
      </c>
      <c r="K6" s="333"/>
      <c r="L6" s="333"/>
      <c r="M6" s="333"/>
      <c r="N6" s="333"/>
    </row>
    <row r="7" spans="2:16" ht="17.25" customHeight="1" thickBot="1" x14ac:dyDescent="0.4">
      <c r="B7" s="192"/>
      <c r="C7" s="191"/>
      <c r="D7" s="191"/>
      <c r="E7" s="191"/>
      <c r="F7" s="191"/>
      <c r="G7" s="190"/>
      <c r="K7" s="189"/>
      <c r="L7" s="189"/>
      <c r="M7" s="189"/>
      <c r="N7" s="189"/>
    </row>
    <row r="8" spans="2:16" ht="15" thickBot="1" x14ac:dyDescent="0.35"/>
    <row r="9" spans="2:16" ht="15" thickBot="1" x14ac:dyDescent="0.35">
      <c r="B9" s="207"/>
      <c r="C9" s="206"/>
      <c r="D9" s="206"/>
      <c r="E9" s="206"/>
      <c r="F9" s="206"/>
      <c r="G9" s="205"/>
    </row>
    <row r="10" spans="2:16" ht="15.75" customHeight="1" thickBot="1" x14ac:dyDescent="0.35">
      <c r="B10" s="197" t="s">
        <v>157</v>
      </c>
      <c r="C10" s="204">
        <v>30</v>
      </c>
      <c r="D10" s="203">
        <v>30</v>
      </c>
      <c r="E10" s="203">
        <v>30</v>
      </c>
      <c r="F10" s="202">
        <v>0</v>
      </c>
      <c r="G10" s="201">
        <v>29</v>
      </c>
      <c r="K10" s="332"/>
      <c r="L10" s="332"/>
      <c r="M10" s="332"/>
      <c r="N10" s="332"/>
    </row>
    <row r="11" spans="2:16" ht="16.2" thickBot="1" x14ac:dyDescent="0.35">
      <c r="B11" s="200"/>
      <c r="G11" s="199"/>
      <c r="K11" s="198"/>
      <c r="L11" s="198"/>
      <c r="M11" s="198"/>
      <c r="N11" s="198"/>
    </row>
    <row r="12" spans="2:16" ht="17.25" customHeight="1" thickBot="1" x14ac:dyDescent="0.4">
      <c r="B12" s="197" t="s">
        <v>156</v>
      </c>
      <c r="C12" s="196">
        <v>40</v>
      </c>
      <c r="D12" s="195">
        <v>40</v>
      </c>
      <c r="E12" s="195">
        <v>40</v>
      </c>
      <c r="F12" s="194">
        <v>0</v>
      </c>
      <c r="G12" s="193">
        <v>28</v>
      </c>
      <c r="K12" s="333"/>
      <c r="L12" s="333"/>
      <c r="M12" s="333"/>
      <c r="N12" s="333"/>
    </row>
    <row r="13" spans="2:16" ht="17.25" customHeight="1" thickBot="1" x14ac:dyDescent="0.4">
      <c r="B13" s="192"/>
      <c r="C13" s="191"/>
      <c r="D13" s="191"/>
      <c r="E13" s="191"/>
      <c r="F13" s="191"/>
      <c r="G13" s="190"/>
      <c r="K13" s="189"/>
      <c r="L13" s="189"/>
      <c r="M13" s="189"/>
      <c r="N13" s="189"/>
    </row>
    <row r="14" spans="2:16" ht="15" thickBot="1" x14ac:dyDescent="0.35">
      <c r="B14" s="320" t="s">
        <v>155</v>
      </c>
      <c r="C14" s="321"/>
      <c r="D14" s="321"/>
      <c r="E14" s="322"/>
    </row>
    <row r="15" spans="2:16" ht="15" thickBot="1" x14ac:dyDescent="0.35">
      <c r="B15" s="326" t="str">
        <f>CONCATENATE($C$4,".",$D$4,".",$E$4,".",$F$4,"/",$G$4)</f>
        <v>10.10.10.0/29</v>
      </c>
      <c r="C15" s="188" t="s">
        <v>9</v>
      </c>
      <c r="D15" s="187">
        <f>F4</f>
        <v>0</v>
      </c>
      <c r="E15" s="186" t="s">
        <v>10</v>
      </c>
      <c r="J15" s="343" t="str">
        <f>CONCATENATE("SMART DCN  IP V _",$C$6,".",$D$6,".",$E$6,".",$F$6,"/",$G$6)</f>
        <v>SMART DCN  IP V _20.20.20.0/28</v>
      </c>
      <c r="K15" s="344"/>
      <c r="L15" s="344"/>
      <c r="M15" s="344"/>
      <c r="N15" s="345"/>
    </row>
    <row r="16" spans="2:16" ht="15.6" x14ac:dyDescent="0.3">
      <c r="B16" s="327"/>
      <c r="C16" s="182" t="s">
        <v>11</v>
      </c>
      <c r="D16" s="181">
        <f t="shared" ref="D16:D22" si="0">D15+1</f>
        <v>1</v>
      </c>
      <c r="E16" s="180" t="s">
        <v>12</v>
      </c>
      <c r="G16" s="10" t="s">
        <v>1</v>
      </c>
      <c r="H16" s="17" t="str">
        <f>CONCATENATE($C$4,".",$D$4,".",$E$4,".",$F$4,"/",$G$4)</f>
        <v>10.10.10.0/29</v>
      </c>
      <c r="J16" s="173" t="str">
        <f>CONCATENATE($C$6,".",$D$6,".",$E$6,".",$F$6+1)</f>
        <v>20.20.20.1</v>
      </c>
      <c r="K16" s="337"/>
      <c r="L16" s="338"/>
      <c r="M16" s="339"/>
      <c r="N16" s="173" t="str">
        <f>CONCATENATE($C$6,".",$D$6,".",$E$6,".",$F$6+2)</f>
        <v>20.20.20.2</v>
      </c>
    </row>
    <row r="17" spans="2:18" ht="15" thickBot="1" x14ac:dyDescent="0.35">
      <c r="B17" s="327"/>
      <c r="C17" s="182" t="s">
        <v>14</v>
      </c>
      <c r="D17" s="181">
        <f t="shared" si="0"/>
        <v>2</v>
      </c>
      <c r="E17" s="180" t="s">
        <v>15</v>
      </c>
      <c r="G17" s="10" t="s">
        <v>31</v>
      </c>
      <c r="H17" s="185" t="str">
        <f>CONCATENATE($C$4,".",$D$4,".",$E$4,".",$F$4+4)</f>
        <v>10.10.10.4</v>
      </c>
      <c r="I17" s="115"/>
      <c r="J17" s="172" t="str">
        <f>VLOOKUP($G$6+4,'[1](servizio) (2)'!$A$2:$B$25,2)</f>
        <v>255.255.255.255</v>
      </c>
      <c r="K17" s="340"/>
      <c r="L17" s="341"/>
      <c r="M17" s="342"/>
      <c r="N17" s="171" t="str">
        <f>VLOOKUP($G$6+4,'[1](servizio) (2)'!$A$2:$B$25,2)</f>
        <v>255.255.255.255</v>
      </c>
      <c r="P17" s="115"/>
      <c r="Q17" s="115"/>
      <c r="R17" s="115"/>
    </row>
    <row r="18" spans="2:18" x14ac:dyDescent="0.3">
      <c r="B18" s="327"/>
      <c r="C18" s="182" t="s">
        <v>16</v>
      </c>
      <c r="D18" s="181">
        <f t="shared" si="0"/>
        <v>3</v>
      </c>
      <c r="E18" s="180" t="s">
        <v>15</v>
      </c>
      <c r="G18" s="10" t="s">
        <v>33</v>
      </c>
      <c r="H18" s="9" t="str">
        <f>VLOOKUP(G4,'[1](servizio) (2)'!$A$2:$B$24,2)</f>
        <v>255.255.255.248</v>
      </c>
    </row>
    <row r="19" spans="2:18" x14ac:dyDescent="0.3">
      <c r="B19" s="327"/>
      <c r="C19" s="182" t="s">
        <v>17</v>
      </c>
      <c r="D19" s="184">
        <f t="shared" si="0"/>
        <v>4</v>
      </c>
      <c r="E19" s="183" t="s">
        <v>153</v>
      </c>
      <c r="G19" s="10" t="s">
        <v>35</v>
      </c>
      <c r="H19" s="9" t="str">
        <f>CONCATENATE($C$4,".",$D$4,".",$E$4,".",$F$4+1,"/",$G$4)</f>
        <v>10.10.10.1/29</v>
      </c>
    </row>
    <row r="20" spans="2:18" x14ac:dyDescent="0.3">
      <c r="B20" s="327"/>
      <c r="C20" s="182" t="s">
        <v>19</v>
      </c>
      <c r="D20" s="181">
        <f t="shared" si="0"/>
        <v>5</v>
      </c>
      <c r="E20" s="180" t="s">
        <v>20</v>
      </c>
      <c r="G20" s="10" t="s">
        <v>37</v>
      </c>
      <c r="H20" s="9" t="str">
        <f>CONCATENATE($C$6,".",$D$6,".",$E$6,".",$F$6+1)</f>
        <v>20.20.20.1</v>
      </c>
    </row>
    <row r="21" spans="2:18" x14ac:dyDescent="0.3">
      <c r="B21" s="327"/>
      <c r="C21" s="182" t="s">
        <v>21</v>
      </c>
      <c r="D21" s="181">
        <f t="shared" si="0"/>
        <v>6</v>
      </c>
      <c r="E21" s="180" t="s">
        <v>20</v>
      </c>
    </row>
    <row r="22" spans="2:18" x14ac:dyDescent="0.3">
      <c r="B22" s="328"/>
      <c r="C22" s="182" t="s">
        <v>22</v>
      </c>
      <c r="D22" s="181">
        <f t="shared" si="0"/>
        <v>7</v>
      </c>
      <c r="E22" s="180" t="s">
        <v>23</v>
      </c>
    </row>
    <row r="24" spans="2:18" x14ac:dyDescent="0.3">
      <c r="B24" s="276" t="str">
        <f>CONCATENATE($C$6,".",$D$6,".",$E$6,".",$F$6,"/",$G$6)</f>
        <v>20.20.20.0/28</v>
      </c>
      <c r="C24" s="96" t="s">
        <v>9</v>
      </c>
      <c r="D24" s="97">
        <f>F6</f>
        <v>0</v>
      </c>
      <c r="E24" s="98" t="s">
        <v>25</v>
      </c>
    </row>
    <row r="25" spans="2:18" x14ac:dyDescent="0.3">
      <c r="B25" s="277"/>
      <c r="C25" s="96" t="s">
        <v>11</v>
      </c>
      <c r="D25" s="97">
        <f>F6+1</f>
        <v>1</v>
      </c>
      <c r="E25" s="100" t="s">
        <v>169</v>
      </c>
    </row>
    <row r="26" spans="2:18" x14ac:dyDescent="0.3">
      <c r="B26" s="277"/>
      <c r="C26" s="96" t="s">
        <v>14</v>
      </c>
      <c r="D26" s="97">
        <f>F6+2</f>
        <v>2</v>
      </c>
      <c r="E26" s="179" t="s">
        <v>152</v>
      </c>
    </row>
    <row r="27" spans="2:18" x14ac:dyDescent="0.3">
      <c r="B27" s="277"/>
      <c r="C27" s="96" t="s">
        <v>16</v>
      </c>
      <c r="D27" s="97">
        <f>F6+3</f>
        <v>3</v>
      </c>
      <c r="E27" s="98" t="s">
        <v>34</v>
      </c>
    </row>
    <row r="28" spans="2:18" x14ac:dyDescent="0.3">
      <c r="B28" s="277"/>
      <c r="C28" s="96" t="s">
        <v>17</v>
      </c>
      <c r="D28" s="97">
        <f>F6+4</f>
        <v>4</v>
      </c>
      <c r="E28" s="98" t="s">
        <v>34</v>
      </c>
    </row>
    <row r="29" spans="2:18" x14ac:dyDescent="0.3">
      <c r="B29" s="277"/>
      <c r="C29" s="96" t="s">
        <v>19</v>
      </c>
      <c r="D29" s="97">
        <f>F6+5</f>
        <v>5</v>
      </c>
      <c r="E29" s="98" t="s">
        <v>34</v>
      </c>
    </row>
    <row r="30" spans="2:18" x14ac:dyDescent="0.3">
      <c r="B30" s="277"/>
      <c r="C30" s="96" t="s">
        <v>21</v>
      </c>
      <c r="D30" s="97">
        <f>F6+6</f>
        <v>6</v>
      </c>
      <c r="E30" s="98" t="s">
        <v>34</v>
      </c>
    </row>
    <row r="31" spans="2:18" x14ac:dyDescent="0.3">
      <c r="B31" s="277"/>
      <c r="C31" s="96" t="s">
        <v>22</v>
      </c>
      <c r="D31" s="96">
        <f>F6+7</f>
        <v>7</v>
      </c>
      <c r="E31" s="98" t="s">
        <v>34</v>
      </c>
    </row>
    <row r="32" spans="2:18" x14ac:dyDescent="0.3">
      <c r="B32" s="277"/>
      <c r="C32" s="96" t="s">
        <v>36</v>
      </c>
      <c r="D32" s="96">
        <f>F6+8</f>
        <v>8</v>
      </c>
      <c r="E32" s="98" t="s">
        <v>34</v>
      </c>
    </row>
    <row r="33" spans="2:14" x14ac:dyDescent="0.3">
      <c r="B33" s="277"/>
      <c r="C33" s="96" t="s">
        <v>38</v>
      </c>
      <c r="D33" s="96">
        <f>F6+9</f>
        <v>9</v>
      </c>
      <c r="E33" s="98" t="s">
        <v>34</v>
      </c>
    </row>
    <row r="34" spans="2:14" x14ac:dyDescent="0.3">
      <c r="B34" s="277"/>
      <c r="C34" s="96" t="s">
        <v>39</v>
      </c>
      <c r="D34" s="96">
        <f>F6+10</f>
        <v>10</v>
      </c>
      <c r="E34" s="98" t="s">
        <v>34</v>
      </c>
    </row>
    <row r="35" spans="2:14" x14ac:dyDescent="0.3">
      <c r="B35" s="277"/>
      <c r="C35" s="96" t="s">
        <v>40</v>
      </c>
      <c r="D35" s="96">
        <f>F6+11</f>
        <v>11</v>
      </c>
      <c r="E35" s="98" t="s">
        <v>34</v>
      </c>
    </row>
    <row r="36" spans="2:14" x14ac:dyDescent="0.3">
      <c r="B36" s="277"/>
      <c r="C36" s="96" t="s">
        <v>41</v>
      </c>
      <c r="D36" s="96">
        <f>F6+12</f>
        <v>12</v>
      </c>
      <c r="E36" s="98" t="s">
        <v>34</v>
      </c>
    </row>
    <row r="37" spans="2:14" ht="21.75" customHeight="1" x14ac:dyDescent="0.3">
      <c r="B37" s="277"/>
      <c r="C37" s="96" t="s">
        <v>43</v>
      </c>
      <c r="D37" s="96">
        <f>F6+13</f>
        <v>13</v>
      </c>
      <c r="E37" s="98" t="s">
        <v>34</v>
      </c>
    </row>
    <row r="38" spans="2:14" x14ac:dyDescent="0.3">
      <c r="B38" s="277"/>
      <c r="C38" s="96" t="s">
        <v>45</v>
      </c>
      <c r="D38" s="96">
        <f>F6+14</f>
        <v>14</v>
      </c>
      <c r="E38" s="98" t="s">
        <v>34</v>
      </c>
    </row>
    <row r="39" spans="2:14" x14ac:dyDescent="0.3">
      <c r="B39" s="278"/>
      <c r="C39" s="96" t="s">
        <v>47</v>
      </c>
      <c r="D39" s="96">
        <f>F6+15</f>
        <v>15</v>
      </c>
      <c r="E39" s="98" t="s">
        <v>48</v>
      </c>
    </row>
    <row r="40" spans="2:14" ht="15" customHeight="1" x14ac:dyDescent="0.3"/>
    <row r="42" spans="2:14" x14ac:dyDescent="0.3">
      <c r="B42" s="35"/>
      <c r="C42" s="177"/>
      <c r="D42" s="177"/>
      <c r="E42" s="177"/>
      <c r="F42" s="178"/>
      <c r="G42" s="177"/>
    </row>
    <row r="43" spans="2:14" x14ac:dyDescent="0.3">
      <c r="B43" s="1"/>
    </row>
    <row r="44" spans="2:14" x14ac:dyDescent="0.3">
      <c r="B44" s="35"/>
      <c r="C44" s="177"/>
      <c r="D44" s="177"/>
      <c r="E44" s="177"/>
      <c r="F44" s="178"/>
      <c r="G44" s="177"/>
    </row>
    <row r="45" spans="2:14" ht="15" thickBot="1" x14ac:dyDescent="0.35"/>
    <row r="46" spans="2:14" ht="15" thickBot="1" x14ac:dyDescent="0.35">
      <c r="B46" s="323" t="s">
        <v>155</v>
      </c>
      <c r="C46" s="324"/>
      <c r="D46" s="324"/>
      <c r="E46" s="325"/>
    </row>
    <row r="47" spans="2:14" ht="15" thickBot="1" x14ac:dyDescent="0.35">
      <c r="B47" s="329" t="str">
        <f>CONCATENATE($C$10,".",$D$10,".",$E$10,".",$F$10,"/",$G$10)</f>
        <v>30.30.30.0/29</v>
      </c>
      <c r="C47" s="176" t="s">
        <v>9</v>
      </c>
      <c r="D47" s="175">
        <f>F43</f>
        <v>0</v>
      </c>
      <c r="E47" s="174" t="s">
        <v>10</v>
      </c>
    </row>
    <row r="48" spans="2:14" ht="15" thickBot="1" x14ac:dyDescent="0.35">
      <c r="B48" s="330"/>
      <c r="C48" s="168" t="s">
        <v>11</v>
      </c>
      <c r="D48" s="167">
        <f t="shared" ref="D48:D54" si="1">D47+1</f>
        <v>1</v>
      </c>
      <c r="E48" s="166" t="s">
        <v>12</v>
      </c>
      <c r="G48" s="10" t="s">
        <v>1</v>
      </c>
      <c r="H48" s="30" t="str">
        <f>CONCATENATE($C$10,".",$D$10,".",$E$10,".",$F$10,"/",$G$10)</f>
        <v>30.30.30.0/29</v>
      </c>
      <c r="J48" s="334" t="str">
        <f>CONCATENATE("SMART DCN  IP V _",$C$12,".",$D$12,".",$E$12,".",$F$12,"/",$G$12)</f>
        <v>SMART DCN  IP V _40.40.40.0/28</v>
      </c>
      <c r="K48" s="335"/>
      <c r="L48" s="335"/>
      <c r="M48" s="335"/>
      <c r="N48" s="336"/>
    </row>
    <row r="49" spans="2:18" ht="15.6" x14ac:dyDescent="0.3">
      <c r="B49" s="330"/>
      <c r="C49" s="168" t="s">
        <v>14</v>
      </c>
      <c r="D49" s="167">
        <f t="shared" si="1"/>
        <v>2</v>
      </c>
      <c r="E49" s="166" t="s">
        <v>15</v>
      </c>
      <c r="G49" s="10" t="s">
        <v>31</v>
      </c>
      <c r="H49" s="12" t="str">
        <f>CONCATENATE($C$10,".",$D$10,".",$E$10,".",$F$10+4)</f>
        <v>30.30.30.4</v>
      </c>
      <c r="J49" s="173" t="str">
        <f>CONCATENATE($C$12,".",$D$12,".",$E$12,".",$F$12+1)</f>
        <v>40.40.40.1</v>
      </c>
      <c r="K49" s="337"/>
      <c r="L49" s="338"/>
      <c r="M49" s="339"/>
      <c r="N49" s="173" t="str">
        <f>CONCATENATE($C$12,".",$D$12,".",$E$12,".",$F$12+2)</f>
        <v>40.40.40.2</v>
      </c>
    </row>
    <row r="50" spans="2:18" ht="15" thickBot="1" x14ac:dyDescent="0.35">
      <c r="B50" s="330"/>
      <c r="C50" s="168" t="s">
        <v>16</v>
      </c>
      <c r="D50" s="167">
        <f t="shared" si="1"/>
        <v>3</v>
      </c>
      <c r="E50" s="166" t="s">
        <v>15</v>
      </c>
      <c r="G50" s="10" t="s">
        <v>33</v>
      </c>
      <c r="H50" s="9" t="str">
        <f>VLOOKUP(G4,'[1](servizio) (2)'!$A$2:$B$24,2)</f>
        <v>255.255.255.248</v>
      </c>
      <c r="J50" s="172" t="str">
        <f>VLOOKUP($G$6+4,'[1](servizio) (2)'!$A$2:$B$25,2)</f>
        <v>255.255.255.255</v>
      </c>
      <c r="K50" s="340"/>
      <c r="L50" s="341"/>
      <c r="M50" s="342"/>
      <c r="N50" s="171" t="str">
        <f>VLOOKUP($G$6+4,'[1](servizio) (2)'!$A$2:$B$25,2)</f>
        <v>255.255.255.255</v>
      </c>
    </row>
    <row r="51" spans="2:18" x14ac:dyDescent="0.3">
      <c r="B51" s="330"/>
      <c r="C51" s="168" t="s">
        <v>17</v>
      </c>
      <c r="D51" s="170">
        <f t="shared" si="1"/>
        <v>4</v>
      </c>
      <c r="E51" s="169" t="s">
        <v>154</v>
      </c>
      <c r="G51" s="10" t="s">
        <v>35</v>
      </c>
      <c r="H51" s="9" t="str">
        <f>CONCATENATE($C$10,".",$D$10,".",$E$10,".",$F$10+1,"/",$G$10)</f>
        <v>30.30.30.1/29</v>
      </c>
    </row>
    <row r="52" spans="2:18" x14ac:dyDescent="0.3">
      <c r="B52" s="330"/>
      <c r="C52" s="168" t="s">
        <v>19</v>
      </c>
      <c r="D52" s="167">
        <f t="shared" si="1"/>
        <v>5</v>
      </c>
      <c r="E52" s="166" t="s">
        <v>20</v>
      </c>
      <c r="G52" s="10" t="s">
        <v>37</v>
      </c>
      <c r="H52" s="9" t="str">
        <f>CONCATENATE($C$12,".",$D$12,".",$E$12,".",$F$12+1)</f>
        <v>40.40.40.1</v>
      </c>
    </row>
    <row r="53" spans="2:18" x14ac:dyDescent="0.3">
      <c r="B53" s="330"/>
      <c r="C53" s="168" t="s">
        <v>21</v>
      </c>
      <c r="D53" s="167">
        <f t="shared" si="1"/>
        <v>6</v>
      </c>
      <c r="E53" s="166" t="s">
        <v>20</v>
      </c>
    </row>
    <row r="54" spans="2:18" x14ac:dyDescent="0.3">
      <c r="B54" s="330"/>
      <c r="C54" s="168" t="s">
        <v>22</v>
      </c>
      <c r="D54" s="167">
        <f t="shared" si="1"/>
        <v>7</v>
      </c>
      <c r="E54" s="166" t="s">
        <v>23</v>
      </c>
    </row>
    <row r="55" spans="2:18" x14ac:dyDescent="0.3">
      <c r="B55" s="156"/>
      <c r="C55" s="155"/>
      <c r="D55" s="154"/>
      <c r="E55" s="153"/>
    </row>
    <row r="56" spans="2:18" ht="15" thickBot="1" x14ac:dyDescent="0.35">
      <c r="B56" s="156"/>
      <c r="C56" s="155"/>
      <c r="D56" s="154"/>
      <c r="E56" s="153"/>
      <c r="F56" s="160"/>
      <c r="H56" s="143"/>
      <c r="I56" s="143"/>
      <c r="J56" s="156"/>
      <c r="K56" s="156"/>
      <c r="O56" s="143"/>
      <c r="P56" s="143"/>
      <c r="Q56" s="143"/>
      <c r="R56" s="143"/>
    </row>
    <row r="57" spans="2:18" ht="15" thickBot="1" x14ac:dyDescent="0.35">
      <c r="B57" s="331" t="str">
        <f>CONCATENATE($C$12,".",$D$12,".",$E$12,".",$F$12,"/",$G$12)</f>
        <v>40.40.40.0/28</v>
      </c>
      <c r="C57" s="158" t="s">
        <v>9</v>
      </c>
      <c r="D57" s="161">
        <f>F46</f>
        <v>0</v>
      </c>
      <c r="E57" s="157" t="s">
        <v>25</v>
      </c>
      <c r="F57" s="160"/>
      <c r="H57" s="115"/>
      <c r="J57" s="127" t="s">
        <v>142</v>
      </c>
      <c r="L57" s="127" t="s">
        <v>143</v>
      </c>
      <c r="P57" s="115"/>
      <c r="R57" s="115"/>
    </row>
    <row r="58" spans="2:18" x14ac:dyDescent="0.3">
      <c r="B58" s="331"/>
      <c r="C58" s="158" t="s">
        <v>11</v>
      </c>
      <c r="D58" s="161">
        <f>F46+1</f>
        <v>1</v>
      </c>
      <c r="E58" s="165" t="s">
        <v>170</v>
      </c>
      <c r="F58" s="160"/>
      <c r="H58" s="115"/>
      <c r="J58" s="125" t="s">
        <v>138</v>
      </c>
      <c r="L58" s="125" t="s">
        <v>138</v>
      </c>
      <c r="P58" s="115"/>
      <c r="R58" s="115"/>
    </row>
    <row r="59" spans="2:18" ht="15" thickBot="1" x14ac:dyDescent="0.35">
      <c r="B59" s="331"/>
      <c r="C59" s="158" t="s">
        <v>14</v>
      </c>
      <c r="D59" s="161">
        <f>F46+2</f>
        <v>2</v>
      </c>
      <c r="E59" s="164" t="s">
        <v>171</v>
      </c>
      <c r="F59" s="163"/>
      <c r="J59" s="126" t="s">
        <v>139</v>
      </c>
      <c r="L59" s="126" t="s">
        <v>140</v>
      </c>
    </row>
    <row r="60" spans="2:18" ht="15" thickBot="1" x14ac:dyDescent="0.35">
      <c r="B60" s="331"/>
      <c r="C60" s="158" t="s">
        <v>16</v>
      </c>
      <c r="D60" s="161">
        <f>F46+3</f>
        <v>3</v>
      </c>
      <c r="E60" s="157" t="s">
        <v>34</v>
      </c>
      <c r="F60" s="162"/>
      <c r="J60" s="127" t="s">
        <v>50</v>
      </c>
      <c r="L60" s="127" t="s">
        <v>50</v>
      </c>
    </row>
    <row r="61" spans="2:18" x14ac:dyDescent="0.3">
      <c r="B61" s="331"/>
      <c r="C61" s="158" t="s">
        <v>17</v>
      </c>
      <c r="D61" s="161">
        <f>F46+4</f>
        <v>4</v>
      </c>
      <c r="E61" s="157" t="s">
        <v>34</v>
      </c>
      <c r="F61" s="160"/>
      <c r="G61" s="1"/>
      <c r="H61" s="115"/>
      <c r="J61" s="128" t="s">
        <v>141</v>
      </c>
      <c r="L61" s="128" t="s">
        <v>141</v>
      </c>
    </row>
    <row r="62" spans="2:18" ht="15" thickBot="1" x14ac:dyDescent="0.35">
      <c r="B62" s="331"/>
      <c r="C62" s="158" t="s">
        <v>19</v>
      </c>
      <c r="D62" s="161">
        <f>F46+5</f>
        <v>5</v>
      </c>
      <c r="E62" s="157" t="s">
        <v>34</v>
      </c>
      <c r="F62" s="160"/>
      <c r="G62" s="1"/>
      <c r="H62" s="115"/>
      <c r="J62" s="129" t="s">
        <v>135</v>
      </c>
      <c r="L62" s="129" t="s">
        <v>135</v>
      </c>
    </row>
    <row r="63" spans="2:18" ht="15" thickBot="1" x14ac:dyDescent="0.35">
      <c r="B63" s="331"/>
      <c r="C63" s="158" t="s">
        <v>21</v>
      </c>
      <c r="D63" s="161">
        <f>F46+6</f>
        <v>6</v>
      </c>
      <c r="E63" s="157" t="s">
        <v>34</v>
      </c>
      <c r="F63" s="160"/>
      <c r="G63" s="1"/>
      <c r="H63" s="115"/>
      <c r="N63" s="115"/>
      <c r="P63" s="115"/>
      <c r="R63" s="115"/>
    </row>
    <row r="64" spans="2:18" ht="15" thickBot="1" x14ac:dyDescent="0.35">
      <c r="B64" s="331"/>
      <c r="C64" s="158" t="s">
        <v>22</v>
      </c>
      <c r="D64" s="158">
        <f>F46+7</f>
        <v>7</v>
      </c>
      <c r="E64" s="157" t="s">
        <v>34</v>
      </c>
      <c r="G64" s="1"/>
      <c r="H64" s="115"/>
      <c r="J64" s="127" t="s">
        <v>136</v>
      </c>
      <c r="L64" s="127" t="s">
        <v>137</v>
      </c>
    </row>
    <row r="65" spans="2:18" x14ac:dyDescent="0.3">
      <c r="B65" s="331"/>
      <c r="C65" s="158" t="s">
        <v>36</v>
      </c>
      <c r="D65" s="158">
        <f>F46+8</f>
        <v>8</v>
      </c>
      <c r="E65" s="157" t="s">
        <v>34</v>
      </c>
      <c r="G65" s="1"/>
      <c r="H65" s="115"/>
      <c r="J65" s="125" t="s">
        <v>138</v>
      </c>
      <c r="L65" s="125" t="s">
        <v>138</v>
      </c>
    </row>
    <row r="66" spans="2:18" ht="15" thickBot="1" x14ac:dyDescent="0.35">
      <c r="B66" s="331"/>
      <c r="C66" s="158" t="s">
        <v>38</v>
      </c>
      <c r="D66" s="158">
        <f>F46+9</f>
        <v>9</v>
      </c>
      <c r="E66" s="157" t="s">
        <v>34</v>
      </c>
      <c r="J66" s="126" t="s">
        <v>144</v>
      </c>
      <c r="L66" s="126" t="s">
        <v>145</v>
      </c>
    </row>
    <row r="67" spans="2:18" ht="15" thickBot="1" x14ac:dyDescent="0.35">
      <c r="B67" s="331"/>
      <c r="C67" s="158" t="s">
        <v>39</v>
      </c>
      <c r="D67" s="158">
        <f>F46+10</f>
        <v>10</v>
      </c>
      <c r="E67" s="157" t="s">
        <v>34</v>
      </c>
      <c r="J67" s="127" t="s">
        <v>50</v>
      </c>
      <c r="L67" s="127" t="s">
        <v>50</v>
      </c>
    </row>
    <row r="68" spans="2:18" x14ac:dyDescent="0.3">
      <c r="B68" s="331"/>
      <c r="C68" s="158" t="s">
        <v>40</v>
      </c>
      <c r="D68" s="158">
        <f>F46+11</f>
        <v>11</v>
      </c>
      <c r="E68" s="157" t="s">
        <v>34</v>
      </c>
      <c r="J68" s="128" t="s">
        <v>141</v>
      </c>
      <c r="L68" s="128" t="s">
        <v>141</v>
      </c>
    </row>
    <row r="69" spans="2:18" ht="15" thickBot="1" x14ac:dyDescent="0.35">
      <c r="B69" s="331"/>
      <c r="C69" s="158" t="s">
        <v>41</v>
      </c>
      <c r="D69" s="158">
        <f>F46+12</f>
        <v>12</v>
      </c>
      <c r="E69" s="157" t="s">
        <v>34</v>
      </c>
      <c r="G69" s="6"/>
      <c r="J69" s="129" t="s">
        <v>135</v>
      </c>
      <c r="L69" s="129" t="s">
        <v>135</v>
      </c>
    </row>
    <row r="70" spans="2:18" x14ac:dyDescent="0.3">
      <c r="B70" s="331"/>
      <c r="C70" s="158" t="s">
        <v>43</v>
      </c>
      <c r="D70" s="158">
        <f>F46+13</f>
        <v>13</v>
      </c>
      <c r="E70" s="157" t="s">
        <v>34</v>
      </c>
      <c r="G70" s="159"/>
      <c r="H70" s="152"/>
      <c r="L70" s="152"/>
      <c r="N70" s="152"/>
      <c r="P70" s="152"/>
      <c r="R70" s="152"/>
    </row>
    <row r="71" spans="2:18" x14ac:dyDescent="0.3">
      <c r="B71" s="331"/>
      <c r="C71" s="158" t="s">
        <v>45</v>
      </c>
      <c r="D71" s="158">
        <f>F46+14</f>
        <v>14</v>
      </c>
      <c r="E71" s="157" t="s">
        <v>34</v>
      </c>
      <c r="G71" s="319"/>
      <c r="H71" s="115"/>
      <c r="L71" s="115"/>
      <c r="N71" s="115"/>
      <c r="P71" s="115"/>
      <c r="R71" s="115"/>
    </row>
    <row r="72" spans="2:18" x14ac:dyDescent="0.3">
      <c r="B72" s="331"/>
      <c r="C72" s="158" t="s">
        <v>47</v>
      </c>
      <c r="D72" s="158">
        <f>F46+15</f>
        <v>15</v>
      </c>
      <c r="E72" s="157" t="s">
        <v>48</v>
      </c>
      <c r="G72" s="319"/>
      <c r="H72" s="149"/>
      <c r="J72" s="149"/>
      <c r="L72" s="149"/>
      <c r="N72" s="149"/>
      <c r="P72" s="149"/>
      <c r="R72" s="149"/>
    </row>
    <row r="73" spans="2:18" ht="15" thickBot="1" x14ac:dyDescent="0.35">
      <c r="B73" s="156"/>
      <c r="C73" s="155"/>
      <c r="D73" s="154"/>
      <c r="E73" s="153"/>
      <c r="G73" s="319"/>
      <c r="H73" s="152"/>
      <c r="J73" s="152"/>
      <c r="L73" s="152"/>
      <c r="N73" s="152"/>
      <c r="P73" s="152"/>
      <c r="R73" s="152"/>
    </row>
    <row r="74" spans="2:18" ht="15" thickBot="1" x14ac:dyDescent="0.35">
      <c r="G74" s="319"/>
      <c r="H74" s="149"/>
      <c r="J74" s="317" t="s">
        <v>53</v>
      </c>
      <c r="K74" s="318"/>
      <c r="L74" s="149"/>
      <c r="M74" s="11"/>
      <c r="N74" s="149"/>
      <c r="O74" s="11"/>
      <c r="P74" s="149"/>
      <c r="Q74" s="11"/>
      <c r="R74" s="149"/>
    </row>
    <row r="75" spans="2:18" x14ac:dyDescent="0.3">
      <c r="G75" s="1"/>
      <c r="H75" s="149"/>
      <c r="J75" s="151" t="s">
        <v>54</v>
      </c>
      <c r="K75" s="150" t="s">
        <v>150</v>
      </c>
      <c r="L75" s="149"/>
      <c r="M75" s="11"/>
      <c r="N75" s="149"/>
      <c r="O75" s="11"/>
      <c r="P75" s="149"/>
      <c r="Q75" s="11"/>
      <c r="R75" s="149"/>
    </row>
    <row r="76" spans="2:18" ht="15" thickBot="1" x14ac:dyDescent="0.35">
      <c r="J76" s="123" t="s">
        <v>56</v>
      </c>
      <c r="K76" s="146" t="str">
        <f>CONCATENATE($C$4,".",$D$4,".",$E$4,".",$F$4+1)</f>
        <v>10.10.10.1</v>
      </c>
      <c r="N76" s="11"/>
      <c r="P76" s="11"/>
      <c r="Q76" s="11"/>
      <c r="R76" s="11"/>
    </row>
    <row r="77" spans="2:18" x14ac:dyDescent="0.3">
      <c r="J77" s="148" t="s">
        <v>54</v>
      </c>
      <c r="K77" s="147" t="s">
        <v>151</v>
      </c>
      <c r="P77" s="11"/>
      <c r="Q77" s="11"/>
      <c r="R77" s="11"/>
    </row>
    <row r="78" spans="2:18" ht="17.399999999999999" customHeight="1" thickBot="1" x14ac:dyDescent="0.35">
      <c r="J78" s="123" t="s">
        <v>56</v>
      </c>
      <c r="K78" s="146" t="str">
        <f>CONCATENATE($C$10,".",$D$10,".",$E$10,".",$F$10+1)</f>
        <v>30.30.30.1</v>
      </c>
      <c r="P78" s="11"/>
      <c r="Q78" s="11"/>
      <c r="R78" s="11"/>
    </row>
    <row r="79" spans="2:18" x14ac:dyDescent="0.3">
      <c r="B79" s="346"/>
      <c r="C79" s="347"/>
      <c r="D79" s="348"/>
      <c r="E79" s="141"/>
      <c r="G79" s="145"/>
    </row>
    <row r="80" spans="2:18" x14ac:dyDescent="0.3">
      <c r="B80" s="346"/>
      <c r="C80" s="347"/>
      <c r="D80" s="348"/>
      <c r="E80" s="141"/>
    </row>
    <row r="81" spans="2:16" x14ac:dyDescent="0.3">
      <c r="B81" s="346"/>
      <c r="C81" s="347"/>
      <c r="D81" s="348"/>
      <c r="E81" s="141"/>
      <c r="P81" s="143"/>
    </row>
    <row r="82" spans="2:16" x14ac:dyDescent="0.3">
      <c r="B82" s="346"/>
      <c r="C82" s="347"/>
      <c r="D82" s="348"/>
      <c r="E82" s="141"/>
    </row>
    <row r="83" spans="2:16" x14ac:dyDescent="0.3">
      <c r="B83" s="346"/>
      <c r="C83" s="347"/>
      <c r="D83" s="348"/>
      <c r="E83" s="141"/>
    </row>
    <row r="84" spans="2:16" x14ac:dyDescent="0.3">
      <c r="B84" s="346"/>
      <c r="C84" s="347"/>
      <c r="D84" s="348"/>
      <c r="E84" s="141"/>
      <c r="F84" s="141"/>
      <c r="G84" s="144"/>
      <c r="H84" s="346"/>
    </row>
    <row r="85" spans="2:16" x14ac:dyDescent="0.3">
      <c r="B85" s="346"/>
      <c r="C85" s="347"/>
      <c r="D85" s="348"/>
      <c r="E85" s="141"/>
      <c r="F85" s="141"/>
      <c r="G85" s="144"/>
      <c r="H85" s="346"/>
    </row>
    <row r="86" spans="2:16" x14ac:dyDescent="0.3">
      <c r="B86" s="346"/>
      <c r="C86" s="347"/>
      <c r="D86" s="348"/>
      <c r="E86" s="141"/>
      <c r="F86" s="141"/>
      <c r="G86" s="144"/>
      <c r="H86" s="346"/>
    </row>
    <row r="87" spans="2:16" x14ac:dyDescent="0.3">
      <c r="B87" s="346"/>
      <c r="C87" s="348"/>
      <c r="D87" s="348"/>
      <c r="E87" s="141"/>
      <c r="F87" s="141"/>
      <c r="G87" s="144"/>
      <c r="H87" s="346"/>
    </row>
    <row r="88" spans="2:16" x14ac:dyDescent="0.3">
      <c r="B88" s="346"/>
      <c r="C88" s="348"/>
      <c r="D88" s="348"/>
      <c r="E88" s="141"/>
      <c r="F88" s="141"/>
      <c r="G88" s="141"/>
      <c r="H88" s="142"/>
    </row>
    <row r="89" spans="2:16" x14ac:dyDescent="0.3">
      <c r="B89" s="346"/>
      <c r="C89" s="348"/>
      <c r="D89" s="348"/>
      <c r="E89" s="141"/>
      <c r="F89" s="141"/>
      <c r="G89" s="141"/>
      <c r="H89" s="142"/>
    </row>
    <row r="90" spans="2:16" x14ac:dyDescent="0.3">
      <c r="B90" s="346"/>
      <c r="C90" s="348"/>
      <c r="D90" s="348"/>
      <c r="E90" s="141"/>
      <c r="F90" s="141"/>
      <c r="G90" s="141"/>
      <c r="H90" s="142"/>
      <c r="L90" s="143"/>
      <c r="M90" s="143"/>
      <c r="N90" s="143"/>
    </row>
    <row r="91" spans="2:16" x14ac:dyDescent="0.3">
      <c r="B91" s="346"/>
      <c r="C91" s="348"/>
      <c r="D91" s="348"/>
      <c r="E91" s="141"/>
      <c r="F91" s="141"/>
      <c r="G91" s="141"/>
      <c r="H91" s="142"/>
      <c r="L91" s="115"/>
      <c r="N91" s="115"/>
    </row>
    <row r="92" spans="2:16" x14ac:dyDescent="0.3">
      <c r="B92" s="346"/>
      <c r="C92" s="348"/>
      <c r="D92" s="348"/>
      <c r="E92" s="141"/>
      <c r="F92" s="141"/>
      <c r="G92" s="141"/>
      <c r="H92" s="142"/>
      <c r="L92" s="115"/>
      <c r="N92" s="115"/>
    </row>
    <row r="93" spans="2:16" x14ac:dyDescent="0.3">
      <c r="B93" s="346"/>
      <c r="C93" s="348"/>
      <c r="D93" s="348"/>
      <c r="E93" s="141"/>
      <c r="F93" s="141"/>
    </row>
    <row r="94" spans="2:16" x14ac:dyDescent="0.3">
      <c r="B94" s="346"/>
      <c r="C94" s="348"/>
      <c r="D94" s="348"/>
      <c r="E94" s="141"/>
      <c r="F94" s="141"/>
    </row>
  </sheetData>
  <mergeCells count="26">
    <mergeCell ref="B79:B94"/>
    <mergeCell ref="C79:C86"/>
    <mergeCell ref="D79:D82"/>
    <mergeCell ref="D83:D86"/>
    <mergeCell ref="H84:H85"/>
    <mergeCell ref="H86:H87"/>
    <mergeCell ref="C87:C94"/>
    <mergeCell ref="D87:D90"/>
    <mergeCell ref="D91:D94"/>
    <mergeCell ref="K10:N10"/>
    <mergeCell ref="K12:N12"/>
    <mergeCell ref="J48:N48"/>
    <mergeCell ref="K49:M50"/>
    <mergeCell ref="K4:N4"/>
    <mergeCell ref="K6:N6"/>
    <mergeCell ref="J15:N15"/>
    <mergeCell ref="K16:M17"/>
    <mergeCell ref="J74:K74"/>
    <mergeCell ref="G71:G72"/>
    <mergeCell ref="B14:E14"/>
    <mergeCell ref="B46:E46"/>
    <mergeCell ref="B15:B22"/>
    <mergeCell ref="B24:B39"/>
    <mergeCell ref="B47:B54"/>
    <mergeCell ref="B57:B72"/>
    <mergeCell ref="G73:G74"/>
  </mergeCells>
  <pageMargins left="0.7" right="0.7" top="0.75" bottom="0.75" header="0.3" footer="0.3"/>
  <pageSetup paperSize="9" orientation="portrait" r:id="rId1"/>
  <headerFooter>
    <oddFooter>&amp;C&amp;1#&amp;"TIM Sans"&amp;8&amp;K4472C4Gruppo TIM - Uso Interno - Tutti i diritti riservati.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99"/>
  </sheetPr>
  <dimension ref="B1:U105"/>
  <sheetViews>
    <sheetView showGridLines="0" zoomScale="70" zoomScaleNormal="70" workbookViewId="0">
      <selection activeCell="J40" sqref="J40"/>
    </sheetView>
  </sheetViews>
  <sheetFormatPr defaultRowHeight="14.4" x14ac:dyDescent="0.3"/>
  <cols>
    <col min="1" max="1" width="2" customWidth="1"/>
    <col min="2" max="2" width="19.6640625" customWidth="1"/>
    <col min="5" max="5" width="20.5546875" bestFit="1" customWidth="1"/>
    <col min="6" max="6" width="13.109375" bestFit="1" customWidth="1"/>
    <col min="7" max="7" width="28" bestFit="1" customWidth="1"/>
    <col min="8" max="8" width="32.44140625" customWidth="1"/>
    <col min="9" max="9" width="17.77734375" bestFit="1" customWidth="1"/>
    <col min="10" max="10" width="14.44140625" customWidth="1"/>
    <col min="11" max="11" width="21.109375" customWidth="1"/>
    <col min="12" max="12" width="15.5546875" customWidth="1"/>
    <col min="13" max="13" width="17.33203125" customWidth="1"/>
    <col min="14" max="14" width="15.44140625" customWidth="1"/>
    <col min="15" max="15" width="3.5546875" customWidth="1"/>
    <col min="16" max="16" width="15.5546875" customWidth="1"/>
    <col min="17" max="17" width="12.44140625" customWidth="1"/>
    <col min="18" max="18" width="16" bestFit="1" customWidth="1"/>
  </cols>
  <sheetData>
    <row r="1" spans="2:18" x14ac:dyDescent="0.3">
      <c r="I1" s="32" t="s">
        <v>0</v>
      </c>
      <c r="J1" s="32"/>
      <c r="K1" s="32"/>
      <c r="L1" s="32"/>
      <c r="M1" s="32"/>
      <c r="N1" s="32"/>
      <c r="O1" s="32"/>
      <c r="P1" s="32"/>
    </row>
    <row r="2" spans="2:18" ht="15" thickBot="1" x14ac:dyDescent="0.35">
      <c r="C2" s="306" t="s">
        <v>1</v>
      </c>
      <c r="D2" s="306"/>
      <c r="E2" s="306"/>
      <c r="F2" s="306"/>
      <c r="G2" s="110" t="s">
        <v>2</v>
      </c>
    </row>
    <row r="3" spans="2:18" ht="15" thickBot="1" x14ac:dyDescent="0.35">
      <c r="B3" s="35" t="s">
        <v>4</v>
      </c>
      <c r="C3" s="242">
        <v>10</v>
      </c>
      <c r="D3" s="241">
        <v>10</v>
      </c>
      <c r="E3" s="241">
        <v>10</v>
      </c>
      <c r="F3" s="240">
        <v>0</v>
      </c>
      <c r="G3" s="212">
        <v>29</v>
      </c>
    </row>
    <row r="4" spans="2:18" ht="15" thickBot="1" x14ac:dyDescent="0.35">
      <c r="B4" s="1"/>
    </row>
    <row r="5" spans="2:18" ht="15" thickBot="1" x14ac:dyDescent="0.35">
      <c r="B5" s="35" t="s">
        <v>5</v>
      </c>
      <c r="C5" s="239">
        <v>20</v>
      </c>
      <c r="D5" s="238">
        <v>20</v>
      </c>
      <c r="E5" s="238">
        <v>20</v>
      </c>
      <c r="F5" s="238">
        <v>0</v>
      </c>
      <c r="G5" s="208">
        <v>28</v>
      </c>
    </row>
    <row r="7" spans="2:18" ht="15" thickBot="1" x14ac:dyDescent="0.35"/>
    <row r="8" spans="2:18" ht="15" thickBot="1" x14ac:dyDescent="0.35">
      <c r="H8" s="352" t="str">
        <f>CONCATENATE("SMART DCN  SUBNET Y ",$C$5,".",$D$5,".",$E$5,".",$F$5,"/",$G$5)</f>
        <v>SMART DCN  SUBNET Y 20.20.20.0/28</v>
      </c>
      <c r="I8" s="344"/>
      <c r="J8" s="344"/>
      <c r="K8" s="353"/>
      <c r="L8" s="143"/>
      <c r="M8" s="143"/>
      <c r="N8" s="143"/>
      <c r="O8" s="143"/>
      <c r="P8" s="143"/>
      <c r="Q8" s="143"/>
      <c r="R8" s="143"/>
    </row>
    <row r="9" spans="2:18" x14ac:dyDescent="0.3">
      <c r="H9" s="237" t="str">
        <f>CONCATENATE($C$5,".",$D$5,".",$E$5,".",$F$5+1)</f>
        <v>20.20.20.1</v>
      </c>
      <c r="K9" s="237" t="str">
        <f>CONCATENATE($C$5,".",$D$5,".",$E$5,".",$F$5+3)</f>
        <v>20.20.20.3</v>
      </c>
      <c r="L9" s="115"/>
      <c r="N9" s="115"/>
      <c r="P9" s="115"/>
      <c r="R9" s="115"/>
    </row>
    <row r="10" spans="2:18" ht="15" thickBot="1" x14ac:dyDescent="0.35">
      <c r="H10" s="236" t="str">
        <f>VLOOKUP($G$5+4,'[1](servizio) (2)'!$A$2:$B$25,2)</f>
        <v>255.255.255.255</v>
      </c>
      <c r="K10" s="236" t="str">
        <f>VLOOKUP($G$5+4,'[1](servizio) (2)'!$A$2:$B$25,2)</f>
        <v>255.255.255.255</v>
      </c>
      <c r="L10" s="115"/>
      <c r="N10" s="115"/>
      <c r="P10" s="115"/>
      <c r="R10" s="115"/>
    </row>
    <row r="11" spans="2:18" x14ac:dyDescent="0.3">
      <c r="B11" s="28"/>
    </row>
    <row r="14" spans="2:18" x14ac:dyDescent="0.3">
      <c r="B14" s="286" t="str">
        <f>CONCATENATE($C$3,".",$D$3,".",$E$3,".",$F$3,"/",$G$3)</f>
        <v>10.10.10.0/29</v>
      </c>
      <c r="C14" s="234" t="s">
        <v>9</v>
      </c>
      <c r="D14" s="233">
        <f>F3</f>
        <v>0</v>
      </c>
      <c r="E14" s="232" t="s">
        <v>58</v>
      </c>
    </row>
    <row r="15" spans="2:18" x14ac:dyDescent="0.3">
      <c r="B15" s="286"/>
      <c r="C15" s="234" t="s">
        <v>11</v>
      </c>
      <c r="D15" s="233">
        <f t="shared" ref="D15:D21" si="0">D14+1</f>
        <v>1</v>
      </c>
      <c r="E15" s="232" t="s">
        <v>12</v>
      </c>
    </row>
    <row r="16" spans="2:18" x14ac:dyDescent="0.3">
      <c r="B16" s="286"/>
      <c r="C16" s="234" t="s">
        <v>14</v>
      </c>
      <c r="D16" s="233">
        <f t="shared" si="0"/>
        <v>2</v>
      </c>
      <c r="E16" s="235" t="s">
        <v>167</v>
      </c>
      <c r="F16" s="243"/>
    </row>
    <row r="17" spans="2:18" x14ac:dyDescent="0.3">
      <c r="B17" s="286"/>
      <c r="C17" s="234" t="s">
        <v>16</v>
      </c>
      <c r="D17" s="233">
        <f t="shared" si="0"/>
        <v>3</v>
      </c>
      <c r="E17" s="232" t="s">
        <v>61</v>
      </c>
    </row>
    <row r="18" spans="2:18" x14ac:dyDescent="0.3">
      <c r="B18" s="286"/>
      <c r="C18" s="234" t="s">
        <v>17</v>
      </c>
      <c r="D18" s="233">
        <f t="shared" si="0"/>
        <v>4</v>
      </c>
      <c r="E18" s="232" t="s">
        <v>61</v>
      </c>
    </row>
    <row r="19" spans="2:18" x14ac:dyDescent="0.3">
      <c r="B19" s="286"/>
      <c r="C19" s="234" t="s">
        <v>19</v>
      </c>
      <c r="D19" s="233">
        <f t="shared" si="0"/>
        <v>5</v>
      </c>
      <c r="E19" s="232" t="s">
        <v>61</v>
      </c>
    </row>
    <row r="20" spans="2:18" x14ac:dyDescent="0.3">
      <c r="B20" s="286"/>
      <c r="C20" s="234" t="s">
        <v>21</v>
      </c>
      <c r="D20" s="233">
        <f t="shared" si="0"/>
        <v>6</v>
      </c>
      <c r="E20" s="232" t="s">
        <v>61</v>
      </c>
    </row>
    <row r="21" spans="2:18" x14ac:dyDescent="0.3">
      <c r="B21" s="286"/>
      <c r="C21" s="234" t="s">
        <v>22</v>
      </c>
      <c r="D21" s="233">
        <f t="shared" si="0"/>
        <v>7</v>
      </c>
      <c r="E21" s="232" t="s">
        <v>62</v>
      </c>
    </row>
    <row r="22" spans="2:18" x14ac:dyDescent="0.3">
      <c r="B22" s="20"/>
      <c r="C22" s="20"/>
      <c r="D22" s="20"/>
      <c r="E22" s="21"/>
    </row>
    <row r="23" spans="2:18" x14ac:dyDescent="0.3">
      <c r="B23" s="291" t="str">
        <f>CONCATENATE($C$5,".",$D$5,".",$E$5,".",$F$5,"/",$G$5)</f>
        <v>20.20.20.0/28</v>
      </c>
      <c r="C23" s="101" t="s">
        <v>9</v>
      </c>
      <c r="D23" s="101">
        <f>F5</f>
        <v>0</v>
      </c>
      <c r="E23" s="103" t="s">
        <v>25</v>
      </c>
    </row>
    <row r="24" spans="2:18" x14ac:dyDescent="0.3">
      <c r="B24" s="292"/>
      <c r="C24" s="101" t="s">
        <v>11</v>
      </c>
      <c r="D24" s="101">
        <f>F5+1</f>
        <v>1</v>
      </c>
      <c r="E24" s="104" t="s">
        <v>165</v>
      </c>
    </row>
    <row r="25" spans="2:18" x14ac:dyDescent="0.3">
      <c r="B25" s="292"/>
      <c r="C25" s="101" t="s">
        <v>14</v>
      </c>
      <c r="D25" s="101">
        <f>F5+2</f>
        <v>2</v>
      </c>
      <c r="E25" s="104" t="s">
        <v>166</v>
      </c>
      <c r="F25" s="231"/>
      <c r="M25" s="244"/>
    </row>
    <row r="26" spans="2:18" x14ac:dyDescent="0.3">
      <c r="B26" s="292"/>
      <c r="C26" s="101" t="s">
        <v>16</v>
      </c>
      <c r="D26" s="101">
        <f>F5+3</f>
        <v>3</v>
      </c>
      <c r="E26" s="103" t="s">
        <v>164</v>
      </c>
    </row>
    <row r="27" spans="2:18" x14ac:dyDescent="0.3">
      <c r="B27" s="292"/>
      <c r="C27" s="101" t="s">
        <v>17</v>
      </c>
      <c r="D27" s="101">
        <f>F5+4</f>
        <v>4</v>
      </c>
      <c r="E27" s="103" t="s">
        <v>168</v>
      </c>
    </row>
    <row r="28" spans="2:18" x14ac:dyDescent="0.3">
      <c r="B28" s="292"/>
      <c r="C28" s="101" t="s">
        <v>19</v>
      </c>
      <c r="D28" s="101">
        <f>F5+5</f>
        <v>5</v>
      </c>
      <c r="E28" s="103" t="s">
        <v>34</v>
      </c>
    </row>
    <row r="29" spans="2:18" ht="15" thickBot="1" x14ac:dyDescent="0.35">
      <c r="B29" s="292"/>
      <c r="C29" s="101" t="s">
        <v>21</v>
      </c>
      <c r="D29" s="101">
        <f>F5+6</f>
        <v>6</v>
      </c>
      <c r="E29" s="103" t="s">
        <v>34</v>
      </c>
      <c r="H29" s="349"/>
      <c r="I29" s="349"/>
      <c r="J29" s="349"/>
      <c r="K29" s="349"/>
      <c r="L29" s="349"/>
      <c r="M29" s="349"/>
      <c r="N29" s="349"/>
      <c r="O29" s="349"/>
      <c r="P29" s="349"/>
      <c r="Q29" s="349"/>
      <c r="R29" s="349"/>
    </row>
    <row r="30" spans="2:18" ht="15" thickBot="1" x14ac:dyDescent="0.35">
      <c r="B30" s="292"/>
      <c r="C30" s="101" t="s">
        <v>22</v>
      </c>
      <c r="D30" s="101">
        <f>F5+7</f>
        <v>7</v>
      </c>
      <c r="E30" s="103" t="s">
        <v>34</v>
      </c>
      <c r="H30" s="352" t="str">
        <f>CONCATENATE("SMART DCN  SUBNET Y ",$C$5,".",$D$5,".",$E$5,".",$F$5,"/",$G$5)</f>
        <v>SMART DCN  SUBNET Y 20.20.20.0/28</v>
      </c>
      <c r="I30" s="344"/>
      <c r="J30" s="344"/>
      <c r="K30" s="353"/>
      <c r="L30" s="115"/>
      <c r="N30" s="115"/>
      <c r="P30" s="115"/>
      <c r="R30" s="115"/>
    </row>
    <row r="31" spans="2:18" x14ac:dyDescent="0.3">
      <c r="B31" s="292"/>
      <c r="C31" s="101" t="s">
        <v>36</v>
      </c>
      <c r="D31" s="101">
        <f>F5+8</f>
        <v>8</v>
      </c>
      <c r="E31" s="103" t="s">
        <v>34</v>
      </c>
      <c r="H31" s="230" t="str">
        <f>CONCATENATE($C$5,".",$D$5,".",$E$5,".",$F$5+2)</f>
        <v>20.20.20.2</v>
      </c>
      <c r="K31" s="230" t="str">
        <f>CONCATENATE($C$5,".",$D$5,".",$E$5,".",$F$5+4)</f>
        <v>20.20.20.4</v>
      </c>
      <c r="L31" s="115"/>
      <c r="N31" s="115"/>
      <c r="P31" s="115"/>
      <c r="R31" s="115"/>
    </row>
    <row r="32" spans="2:18" x14ac:dyDescent="0.3">
      <c r="B32" s="292"/>
      <c r="C32" s="101" t="s">
        <v>38</v>
      </c>
      <c r="D32" s="101">
        <f>F5+9</f>
        <v>9</v>
      </c>
      <c r="E32" s="103" t="s">
        <v>34</v>
      </c>
      <c r="H32" s="9" t="str">
        <f>VLOOKUP($G$5+4,'[1](servizio) (2)'!$A$2:$B$25,2)</f>
        <v>255.255.255.255</v>
      </c>
      <c r="K32" s="9" t="str">
        <f>VLOOKUP($G$5+4,'[1](servizio) (2)'!$A$2:$B$25,2)</f>
        <v>255.255.255.255</v>
      </c>
      <c r="L32" s="115"/>
      <c r="N32" s="115"/>
      <c r="P32" s="115"/>
      <c r="R32" s="115"/>
    </row>
    <row r="33" spans="2:20" x14ac:dyDescent="0.3">
      <c r="B33" s="292"/>
      <c r="C33" s="101" t="s">
        <v>39</v>
      </c>
      <c r="D33" s="101">
        <f>F5+10</f>
        <v>10</v>
      </c>
      <c r="E33" s="103" t="s">
        <v>34</v>
      </c>
      <c r="J33" s="115"/>
      <c r="L33" s="115"/>
      <c r="N33" s="115"/>
      <c r="P33" s="115"/>
      <c r="R33" s="115"/>
    </row>
    <row r="34" spans="2:20" x14ac:dyDescent="0.3">
      <c r="B34" s="292"/>
      <c r="C34" s="101" t="s">
        <v>40</v>
      </c>
      <c r="D34" s="101">
        <f>F5+11</f>
        <v>11</v>
      </c>
      <c r="E34" s="103" t="s">
        <v>34</v>
      </c>
      <c r="J34" s="115"/>
      <c r="L34" s="115"/>
      <c r="N34" s="115"/>
      <c r="P34" s="115"/>
      <c r="R34" s="115"/>
    </row>
    <row r="35" spans="2:20" ht="15" thickBot="1" x14ac:dyDescent="0.35">
      <c r="B35" s="292"/>
      <c r="C35" s="101" t="s">
        <v>41</v>
      </c>
      <c r="D35" s="101">
        <f>F5+12</f>
        <v>12</v>
      </c>
      <c r="E35" s="103" t="s">
        <v>34</v>
      </c>
    </row>
    <row r="36" spans="2:20" ht="15" thickBot="1" x14ac:dyDescent="0.35">
      <c r="B36" s="292"/>
      <c r="C36" s="101" t="s">
        <v>43</v>
      </c>
      <c r="D36" s="101">
        <f>F5+13</f>
        <v>13</v>
      </c>
      <c r="E36" s="103" t="s">
        <v>34</v>
      </c>
      <c r="G36" s="229" t="s">
        <v>1</v>
      </c>
      <c r="H36" s="228" t="str">
        <f>CONCATENATE($C$3,".",$D$3,".",$E$3,".",$F$3,"/",$G$3)</f>
        <v>10.10.10.0/29</v>
      </c>
      <c r="J36" s="18"/>
      <c r="L36" s="115"/>
      <c r="N36" s="18"/>
      <c r="P36" s="115"/>
      <c r="R36" s="115"/>
    </row>
    <row r="37" spans="2:20" ht="15" thickBot="1" x14ac:dyDescent="0.35">
      <c r="B37" s="292"/>
      <c r="C37" s="101" t="s">
        <v>45</v>
      </c>
      <c r="D37" s="101">
        <f>F5+14</f>
        <v>14</v>
      </c>
      <c r="E37" s="103" t="s">
        <v>34</v>
      </c>
      <c r="G37" s="227" t="s">
        <v>162</v>
      </c>
      <c r="H37" s="226" t="str">
        <f>CONCATENATE($C$3,".",$D$3,".",$E$3,".",$F$3+2)</f>
        <v>10.10.10.2</v>
      </c>
      <c r="J37" s="115"/>
      <c r="L37" s="115"/>
      <c r="N37" s="115"/>
      <c r="P37" s="115"/>
      <c r="R37" s="115"/>
    </row>
    <row r="38" spans="2:20" x14ac:dyDescent="0.3">
      <c r="B38" s="293"/>
      <c r="C38" s="101" t="s">
        <v>47</v>
      </c>
      <c r="D38" s="101">
        <f>F5+15</f>
        <v>15</v>
      </c>
      <c r="E38" s="103" t="s">
        <v>48</v>
      </c>
      <c r="G38" s="105" t="s">
        <v>163</v>
      </c>
      <c r="H38" s="225" t="str">
        <f>CONCATENATE($C$3,".",$D$3,".",$E$3,".",$F$3+2)</f>
        <v>10.10.10.2</v>
      </c>
      <c r="L38" s="350" t="s">
        <v>53</v>
      </c>
      <c r="M38" s="351"/>
    </row>
    <row r="39" spans="2:20" x14ac:dyDescent="0.3">
      <c r="G39" s="105" t="s">
        <v>33</v>
      </c>
      <c r="H39" s="224" t="str">
        <f>VLOOKUP($G$3,'[1](servizio) (2)'!$A$2:$B$24,2)</f>
        <v>255.255.255.248</v>
      </c>
      <c r="L39" s="122" t="s">
        <v>54</v>
      </c>
      <c r="M39" s="131" t="s">
        <v>55</v>
      </c>
    </row>
    <row r="40" spans="2:20" ht="15" thickBot="1" x14ac:dyDescent="0.35">
      <c r="G40" s="223" t="s">
        <v>160</v>
      </c>
      <c r="H40" s="222" t="str">
        <f>CONCATENATE($C$5,".",$D$5,".",$E$5,".",$F$5+1)</f>
        <v>20.20.20.1</v>
      </c>
      <c r="L40" s="123" t="s">
        <v>56</v>
      </c>
      <c r="M40" s="132" t="str">
        <f>CONCATENATE($C$3,".",$D$3,".",$E$3,".",$F$3+1)</f>
        <v>10.10.10.1</v>
      </c>
    </row>
    <row r="41" spans="2:20" x14ac:dyDescent="0.3">
      <c r="G41" s="223" t="s">
        <v>161</v>
      </c>
      <c r="H41" s="222" t="str">
        <f>CONCATENATE($C$5,".",$D$5,".",$E$5,".",$F$5+2)</f>
        <v>20.20.20.2</v>
      </c>
    </row>
    <row r="42" spans="2:20" x14ac:dyDescent="0.3">
      <c r="G42" s="223" t="s">
        <v>33</v>
      </c>
      <c r="H42" s="222" t="str">
        <f>VLOOKUP($G$3,'[1](servizio) (2)'!$A$2:$B$22,2)</f>
        <v>255.255.255.240</v>
      </c>
    </row>
    <row r="43" spans="2:20" x14ac:dyDescent="0.3">
      <c r="G43" s="221" t="s">
        <v>70</v>
      </c>
      <c r="H43" s="222">
        <v>3556</v>
      </c>
    </row>
    <row r="44" spans="2:20" x14ac:dyDescent="0.3">
      <c r="G44" s="221" t="s">
        <v>71</v>
      </c>
      <c r="H44" s="220" t="str">
        <f>CONCATENATE("xgei-1/1/0/3",".",H43)</f>
        <v>xgei-1/1/0/3.3556</v>
      </c>
      <c r="T44" s="152"/>
    </row>
    <row r="45" spans="2:20" x14ac:dyDescent="0.3">
      <c r="T45" s="115"/>
    </row>
    <row r="46" spans="2:20" x14ac:dyDescent="0.3">
      <c r="T46" s="115"/>
    </row>
    <row r="47" spans="2:20" x14ac:dyDescent="0.3"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</row>
    <row r="48" spans="2:20" x14ac:dyDescent="0.3">
      <c r="H48" s="152"/>
      <c r="J48" s="152"/>
      <c r="L48" s="152"/>
      <c r="N48" s="152"/>
      <c r="P48" s="152"/>
      <c r="R48" s="152"/>
    </row>
    <row r="49" spans="2:18" ht="15" thickBot="1" x14ac:dyDescent="0.35">
      <c r="H49" s="152"/>
      <c r="J49" s="115"/>
      <c r="L49" s="115"/>
      <c r="N49" s="115"/>
      <c r="P49" s="115"/>
      <c r="R49" s="115"/>
    </row>
    <row r="50" spans="2:18" ht="15" thickBot="1" x14ac:dyDescent="0.35">
      <c r="H50" s="149"/>
      <c r="I50" s="127" t="s">
        <v>142</v>
      </c>
      <c r="K50" s="127" t="s">
        <v>143</v>
      </c>
      <c r="L50" s="149"/>
      <c r="N50" s="149"/>
      <c r="P50" s="149"/>
      <c r="R50" s="149"/>
    </row>
    <row r="51" spans="2:18" x14ac:dyDescent="0.3">
      <c r="H51" s="152"/>
      <c r="I51" s="125" t="s">
        <v>138</v>
      </c>
      <c r="K51" s="125" t="s">
        <v>138</v>
      </c>
      <c r="L51" s="152"/>
      <c r="N51" s="152"/>
      <c r="P51" s="152"/>
      <c r="R51" s="152"/>
    </row>
    <row r="52" spans="2:18" ht="15" thickBot="1" x14ac:dyDescent="0.35">
      <c r="H52" s="149"/>
      <c r="I52" s="126" t="s">
        <v>139</v>
      </c>
      <c r="K52" s="126" t="s">
        <v>140</v>
      </c>
      <c r="L52" s="149"/>
      <c r="M52" s="11"/>
      <c r="N52" s="149"/>
      <c r="O52" s="11"/>
      <c r="P52" s="149"/>
      <c r="Q52" s="11"/>
      <c r="R52" s="149"/>
    </row>
    <row r="53" spans="2:18" ht="15" thickBot="1" x14ac:dyDescent="0.35">
      <c r="H53" s="149"/>
      <c r="I53" s="127" t="s">
        <v>50</v>
      </c>
      <c r="K53" s="127" t="s">
        <v>50</v>
      </c>
      <c r="L53" s="149"/>
      <c r="M53" s="11"/>
      <c r="N53" s="149"/>
      <c r="O53" s="11"/>
      <c r="P53" s="149"/>
      <c r="Q53" s="11"/>
      <c r="R53" s="149"/>
    </row>
    <row r="54" spans="2:18" x14ac:dyDescent="0.3">
      <c r="I54" s="128" t="s">
        <v>141</v>
      </c>
      <c r="K54" s="128" t="s">
        <v>141</v>
      </c>
    </row>
    <row r="55" spans="2:18" ht="15" thickBot="1" x14ac:dyDescent="0.35">
      <c r="I55" s="129" t="s">
        <v>135</v>
      </c>
      <c r="K55" s="129" t="s">
        <v>135</v>
      </c>
    </row>
    <row r="56" spans="2:18" ht="15" thickBot="1" x14ac:dyDescent="0.35"/>
    <row r="57" spans="2:18" ht="14.25" customHeight="1" thickBot="1" x14ac:dyDescent="0.35">
      <c r="B57" s="349"/>
      <c r="C57" s="349"/>
      <c r="D57" s="349"/>
      <c r="E57" s="349"/>
      <c r="F57" s="349"/>
      <c r="I57" s="127" t="s">
        <v>136</v>
      </c>
      <c r="K57" s="127" t="s">
        <v>137</v>
      </c>
    </row>
    <row r="58" spans="2:18" x14ac:dyDescent="0.3">
      <c r="I58" s="125" t="s">
        <v>138</v>
      </c>
      <c r="K58" s="125" t="s">
        <v>138</v>
      </c>
    </row>
    <row r="59" spans="2:18" ht="15" thickBot="1" x14ac:dyDescent="0.35">
      <c r="B59" s="359"/>
      <c r="C59" s="360"/>
      <c r="D59" s="361"/>
      <c r="E59" s="218"/>
      <c r="F59" s="218"/>
      <c r="I59" s="126" t="s">
        <v>144</v>
      </c>
      <c r="K59" s="126" t="s">
        <v>145</v>
      </c>
      <c r="L59" s="11"/>
      <c r="M59" s="11"/>
      <c r="N59" s="11"/>
      <c r="O59" s="11"/>
      <c r="P59" s="11"/>
      <c r="Q59" s="11"/>
      <c r="R59" s="11"/>
    </row>
    <row r="60" spans="2:18" ht="15" thickBot="1" x14ac:dyDescent="0.35">
      <c r="B60" s="359"/>
      <c r="C60" s="360"/>
      <c r="D60" s="361"/>
      <c r="E60" s="218"/>
      <c r="F60" s="218"/>
      <c r="I60" s="127" t="s">
        <v>50</v>
      </c>
      <c r="K60" s="127" t="s">
        <v>50</v>
      </c>
      <c r="L60" s="11"/>
      <c r="M60" s="11"/>
      <c r="N60" s="11"/>
      <c r="O60" s="11"/>
      <c r="P60" s="11"/>
      <c r="Q60" s="11"/>
      <c r="R60" s="11"/>
    </row>
    <row r="61" spans="2:18" x14ac:dyDescent="0.3">
      <c r="B61" s="359"/>
      <c r="C61" s="360"/>
      <c r="D61" s="361"/>
      <c r="E61" s="218"/>
      <c r="F61" s="219"/>
      <c r="I61" s="128" t="s">
        <v>141</v>
      </c>
      <c r="K61" s="128" t="s">
        <v>141</v>
      </c>
    </row>
    <row r="62" spans="2:18" ht="15" thickBot="1" x14ac:dyDescent="0.35">
      <c r="B62" s="359"/>
      <c r="C62" s="360"/>
      <c r="D62" s="361"/>
      <c r="E62" s="218"/>
      <c r="F62" s="218"/>
      <c r="I62" s="129" t="s">
        <v>135</v>
      </c>
      <c r="K62" s="129" t="s">
        <v>135</v>
      </c>
    </row>
    <row r="63" spans="2:18" x14ac:dyDescent="0.3">
      <c r="B63" s="359"/>
      <c r="C63" s="360"/>
      <c r="D63" s="361"/>
      <c r="E63" s="218"/>
      <c r="F63" s="218"/>
    </row>
    <row r="64" spans="2:18" x14ac:dyDescent="0.3">
      <c r="B64" s="359"/>
      <c r="C64" s="360"/>
      <c r="D64" s="361"/>
      <c r="E64" s="218"/>
      <c r="F64" s="218"/>
      <c r="G64" s="144"/>
      <c r="H64" s="346"/>
    </row>
    <row r="65" spans="2:21" x14ac:dyDescent="0.3">
      <c r="B65" s="359"/>
      <c r="C65" s="360"/>
      <c r="D65" s="361"/>
      <c r="E65" s="218"/>
      <c r="F65" s="218"/>
      <c r="G65" s="144"/>
      <c r="H65" s="346"/>
    </row>
    <row r="66" spans="2:21" x14ac:dyDescent="0.3">
      <c r="B66" s="359"/>
      <c r="C66" s="360"/>
      <c r="D66" s="361"/>
      <c r="E66" s="218"/>
      <c r="F66" s="218"/>
      <c r="G66" s="218"/>
      <c r="H66" s="362"/>
    </row>
    <row r="67" spans="2:21" x14ac:dyDescent="0.3">
      <c r="B67" s="359"/>
      <c r="C67" s="361"/>
      <c r="D67" s="361"/>
      <c r="E67" s="218"/>
      <c r="F67" s="218"/>
      <c r="G67" s="218"/>
      <c r="H67" s="362"/>
    </row>
    <row r="68" spans="2:21" x14ac:dyDescent="0.3">
      <c r="B68" s="359"/>
      <c r="C68" s="361"/>
      <c r="D68" s="361"/>
      <c r="E68" s="218"/>
      <c r="F68" s="218"/>
      <c r="G68" s="218"/>
      <c r="H68" s="362"/>
    </row>
    <row r="69" spans="2:21" x14ac:dyDescent="0.3">
      <c r="B69" s="359"/>
      <c r="C69" s="361"/>
      <c r="D69" s="361"/>
      <c r="E69" s="218"/>
      <c r="F69" s="218"/>
      <c r="G69" s="218"/>
      <c r="H69" s="362"/>
    </row>
    <row r="70" spans="2:21" x14ac:dyDescent="0.3">
      <c r="B70" s="359"/>
      <c r="C70" s="361"/>
      <c r="D70" s="361"/>
      <c r="E70" s="218"/>
      <c r="F70" s="218"/>
      <c r="G70" s="218"/>
      <c r="H70" s="362"/>
    </row>
    <row r="71" spans="2:21" x14ac:dyDescent="0.3">
      <c r="B71" s="359"/>
      <c r="C71" s="361"/>
      <c r="D71" s="361"/>
      <c r="E71" s="218"/>
      <c r="F71" s="218"/>
      <c r="G71" s="218"/>
      <c r="H71" s="362"/>
    </row>
    <row r="72" spans="2:21" x14ac:dyDescent="0.3">
      <c r="B72" s="359"/>
      <c r="C72" s="361"/>
      <c r="D72" s="361"/>
      <c r="E72" s="218"/>
      <c r="F72" s="218"/>
      <c r="G72" s="141"/>
      <c r="H72" s="362"/>
    </row>
    <row r="73" spans="2:21" x14ac:dyDescent="0.3">
      <c r="B73" s="359"/>
      <c r="C73" s="361"/>
      <c r="D73" s="361"/>
      <c r="E73" s="218"/>
      <c r="F73" s="218"/>
      <c r="G73" s="141"/>
      <c r="H73" s="362"/>
      <c r="J73" s="1"/>
      <c r="K73" s="115"/>
    </row>
    <row r="74" spans="2:21" x14ac:dyDescent="0.3">
      <c r="B74" s="359"/>
      <c r="C74" s="361"/>
      <c r="D74" s="361"/>
      <c r="E74" s="218"/>
      <c r="F74" s="218"/>
      <c r="G74" s="218"/>
      <c r="H74" s="362"/>
      <c r="J74" s="319"/>
      <c r="K74" s="357"/>
      <c r="L74" s="8"/>
      <c r="M74" s="354"/>
      <c r="N74" s="354"/>
      <c r="O74" s="354"/>
      <c r="P74" s="354"/>
      <c r="Q74" s="354"/>
      <c r="R74" s="354"/>
      <c r="S74" s="354"/>
      <c r="T74" s="354"/>
      <c r="U74" s="354"/>
    </row>
    <row r="75" spans="2:21" x14ac:dyDescent="0.3">
      <c r="J75" s="319"/>
      <c r="K75" s="357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2:21" x14ac:dyDescent="0.3">
      <c r="J76" s="159"/>
      <c r="K76" s="8"/>
      <c r="L76" s="8"/>
      <c r="M76" s="355"/>
      <c r="N76" s="355"/>
      <c r="O76" s="355"/>
      <c r="P76" s="355"/>
      <c r="Q76" s="355"/>
      <c r="R76" s="355"/>
      <c r="S76" s="355"/>
      <c r="T76" s="355"/>
      <c r="U76" s="355"/>
    </row>
    <row r="77" spans="2:21" x14ac:dyDescent="0.3">
      <c r="J77" s="15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2:21" x14ac:dyDescent="0.3">
      <c r="J78" s="159"/>
      <c r="K78" s="11"/>
      <c r="L78" s="8"/>
      <c r="M78" s="356"/>
      <c r="N78" s="356"/>
      <c r="O78" s="356"/>
      <c r="P78" s="356"/>
      <c r="Q78" s="356"/>
      <c r="R78" s="356"/>
      <c r="S78" s="356"/>
      <c r="T78" s="356"/>
      <c r="U78" s="356"/>
    </row>
    <row r="79" spans="2:21" x14ac:dyDescent="0.3">
      <c r="J79" s="159"/>
      <c r="K79" s="11"/>
    </row>
    <row r="88" spans="2:11" x14ac:dyDescent="0.3">
      <c r="E88" s="349"/>
      <c r="F88" s="349"/>
      <c r="G88" s="349"/>
    </row>
    <row r="89" spans="2:11" ht="15.6" x14ac:dyDescent="0.3">
      <c r="B89" s="346"/>
      <c r="C89" s="346"/>
      <c r="D89" s="346"/>
      <c r="E89" s="144"/>
      <c r="F89" s="217"/>
      <c r="G89" s="144"/>
      <c r="H89" s="144"/>
      <c r="K89" s="93"/>
    </row>
    <row r="90" spans="2:11" x14ac:dyDescent="0.3">
      <c r="B90" s="346"/>
      <c r="C90" s="347"/>
      <c r="D90" s="348"/>
      <c r="E90" s="141"/>
      <c r="F90" s="141"/>
      <c r="G90" s="141"/>
      <c r="H90" s="346"/>
    </row>
    <row r="91" spans="2:11" x14ac:dyDescent="0.3">
      <c r="B91" s="346"/>
      <c r="C91" s="347"/>
      <c r="D91" s="348"/>
      <c r="E91" s="141"/>
      <c r="F91" s="141"/>
      <c r="G91" s="144"/>
      <c r="H91" s="346"/>
    </row>
    <row r="92" spans="2:11" x14ac:dyDescent="0.3">
      <c r="B92" s="346"/>
      <c r="C92" s="347"/>
      <c r="D92" s="348"/>
      <c r="E92" s="141"/>
      <c r="F92" s="144"/>
      <c r="G92" s="144"/>
      <c r="H92" s="346"/>
    </row>
    <row r="93" spans="2:11" x14ac:dyDescent="0.3">
      <c r="B93" s="346"/>
      <c r="C93" s="347"/>
      <c r="D93" s="348"/>
      <c r="E93" s="141"/>
      <c r="F93" s="141"/>
      <c r="G93" s="144"/>
      <c r="H93" s="346"/>
    </row>
    <row r="94" spans="2:11" x14ac:dyDescent="0.3">
      <c r="B94" s="346"/>
      <c r="C94" s="347"/>
      <c r="D94" s="348"/>
      <c r="E94" s="141"/>
      <c r="F94" s="141"/>
      <c r="G94" s="144"/>
      <c r="H94" s="346"/>
    </row>
    <row r="95" spans="2:11" x14ac:dyDescent="0.3">
      <c r="B95" s="346"/>
      <c r="C95" s="347"/>
      <c r="D95" s="348"/>
      <c r="E95" s="141"/>
      <c r="F95" s="141"/>
      <c r="G95" s="144"/>
      <c r="H95" s="346"/>
    </row>
    <row r="96" spans="2:11" x14ac:dyDescent="0.3">
      <c r="B96" s="346"/>
      <c r="C96" s="347"/>
      <c r="D96" s="348"/>
      <c r="E96" s="141"/>
      <c r="F96" s="141"/>
      <c r="G96" s="144"/>
      <c r="H96" s="346"/>
    </row>
    <row r="97" spans="2:8" x14ac:dyDescent="0.3">
      <c r="B97" s="346"/>
      <c r="C97" s="347"/>
      <c r="D97" s="348"/>
      <c r="E97" s="141"/>
      <c r="F97" s="141"/>
      <c r="G97" s="141"/>
      <c r="H97" s="358"/>
    </row>
    <row r="98" spans="2:8" x14ac:dyDescent="0.3">
      <c r="B98" s="346"/>
      <c r="C98" s="348"/>
      <c r="D98" s="348"/>
      <c r="E98" s="141"/>
      <c r="F98" s="141"/>
      <c r="G98" s="141"/>
      <c r="H98" s="358"/>
    </row>
    <row r="99" spans="2:8" x14ac:dyDescent="0.3">
      <c r="B99" s="346"/>
      <c r="C99" s="348"/>
      <c r="D99" s="348"/>
      <c r="E99" s="141"/>
      <c r="F99" s="141"/>
      <c r="G99" s="141"/>
      <c r="H99" s="358"/>
    </row>
    <row r="100" spans="2:8" x14ac:dyDescent="0.3">
      <c r="B100" s="346"/>
      <c r="C100" s="348"/>
      <c r="D100" s="348"/>
      <c r="E100" s="141"/>
      <c r="F100" s="141"/>
      <c r="G100" s="141"/>
      <c r="H100" s="358"/>
    </row>
    <row r="101" spans="2:8" x14ac:dyDescent="0.3">
      <c r="B101" s="346"/>
      <c r="C101" s="348"/>
      <c r="D101" s="348"/>
      <c r="E101" s="141"/>
      <c r="F101" s="141"/>
      <c r="G101" s="141"/>
      <c r="H101" s="358"/>
    </row>
    <row r="102" spans="2:8" x14ac:dyDescent="0.3">
      <c r="B102" s="346"/>
      <c r="C102" s="348"/>
      <c r="D102" s="348"/>
      <c r="E102" s="141"/>
      <c r="F102" s="141"/>
      <c r="G102" s="141"/>
      <c r="H102" s="358"/>
    </row>
    <row r="103" spans="2:8" x14ac:dyDescent="0.3">
      <c r="B103" s="346"/>
      <c r="C103" s="348"/>
      <c r="D103" s="348"/>
      <c r="E103" s="141"/>
      <c r="F103" s="141"/>
      <c r="G103" s="141"/>
      <c r="H103" s="358"/>
    </row>
    <row r="104" spans="2:8" x14ac:dyDescent="0.3">
      <c r="B104" s="346"/>
      <c r="C104" s="348"/>
      <c r="D104" s="348"/>
      <c r="E104" s="141"/>
      <c r="F104" s="141"/>
      <c r="G104" s="141"/>
      <c r="H104" s="358"/>
    </row>
    <row r="105" spans="2:8" x14ac:dyDescent="0.3">
      <c r="B105" s="346"/>
      <c r="C105" s="348"/>
      <c r="D105" s="348"/>
      <c r="E105" s="141"/>
      <c r="F105" s="141"/>
      <c r="G105" s="141"/>
      <c r="H105" s="358"/>
    </row>
  </sheetData>
  <mergeCells count="35">
    <mergeCell ref="B59:B74"/>
    <mergeCell ref="C59:C66"/>
    <mergeCell ref="D59:D62"/>
    <mergeCell ref="D63:D66"/>
    <mergeCell ref="H64:H65"/>
    <mergeCell ref="H66:H74"/>
    <mergeCell ref="C67:C74"/>
    <mergeCell ref="D67:D70"/>
    <mergeCell ref="D71:D74"/>
    <mergeCell ref="E88:G88"/>
    <mergeCell ref="B89:D89"/>
    <mergeCell ref="B90:B105"/>
    <mergeCell ref="C90:C97"/>
    <mergeCell ref="D90:D93"/>
    <mergeCell ref="C98:C105"/>
    <mergeCell ref="H90:H92"/>
    <mergeCell ref="H93:H94"/>
    <mergeCell ref="D94:D97"/>
    <mergeCell ref="H95:H96"/>
    <mergeCell ref="H97:H105"/>
    <mergeCell ref="D98:D101"/>
    <mergeCell ref="D102:D105"/>
    <mergeCell ref="M74:U74"/>
    <mergeCell ref="M76:U76"/>
    <mergeCell ref="M78:U78"/>
    <mergeCell ref="K74:K75"/>
    <mergeCell ref="J74:J75"/>
    <mergeCell ref="B57:F57"/>
    <mergeCell ref="C2:F2"/>
    <mergeCell ref="B14:B21"/>
    <mergeCell ref="B23:B38"/>
    <mergeCell ref="H29:R29"/>
    <mergeCell ref="L38:M38"/>
    <mergeCell ref="H8:K8"/>
    <mergeCell ref="H30:K30"/>
  </mergeCells>
  <pageMargins left="0.7" right="0.7" top="0.75" bottom="0.75" header="0.3" footer="0.3"/>
  <pageSetup paperSize="9" orientation="portrait" r:id="rId1"/>
  <headerFooter>
    <oddFooter>&amp;C&amp;1#&amp;"TIM Sans"&amp;8&amp;K4472C4Gruppo TIM - Uso Interno - Tutti i diritti riservati.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:N65"/>
  <sheetViews>
    <sheetView zoomScale="90" zoomScaleNormal="90" workbookViewId="0">
      <selection activeCell="F14" sqref="F14"/>
    </sheetView>
  </sheetViews>
  <sheetFormatPr defaultRowHeight="14.4" x14ac:dyDescent="0.3"/>
  <cols>
    <col min="1" max="1" width="9.88671875" bestFit="1" customWidth="1"/>
    <col min="2" max="2" width="14.88671875" bestFit="1" customWidth="1"/>
    <col min="4" max="4" width="12.5546875" bestFit="1" customWidth="1"/>
    <col min="6" max="6" width="23.33203125" customWidth="1"/>
    <col min="7" max="7" width="5" customWidth="1"/>
    <col min="8" max="8" width="5.44140625" customWidth="1"/>
  </cols>
  <sheetData>
    <row r="1" spans="1:14" x14ac:dyDescent="0.3">
      <c r="A1" s="2" t="s">
        <v>81</v>
      </c>
      <c r="B1" s="3" t="s">
        <v>2</v>
      </c>
      <c r="F1" t="s">
        <v>82</v>
      </c>
      <c r="J1" s="7">
        <v>26</v>
      </c>
      <c r="K1" s="7">
        <v>27</v>
      </c>
      <c r="L1" s="7">
        <v>28</v>
      </c>
      <c r="M1" s="7">
        <v>29</v>
      </c>
      <c r="N1" s="7">
        <v>30</v>
      </c>
    </row>
    <row r="2" spans="1:14" x14ac:dyDescent="0.3">
      <c r="A2" s="4">
        <v>8</v>
      </c>
      <c r="B2" s="5" t="s">
        <v>83</v>
      </c>
      <c r="F2" s="6" t="s">
        <v>84</v>
      </c>
      <c r="G2">
        <v>0</v>
      </c>
      <c r="H2">
        <v>16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4">
        <v>9</v>
      </c>
      <c r="B3" s="5" t="s">
        <v>85</v>
      </c>
      <c r="J3">
        <f>J2+64</f>
        <v>64</v>
      </c>
      <c r="K3">
        <f>K2+32</f>
        <v>32</v>
      </c>
      <c r="L3">
        <f t="shared" ref="L3:L17" si="0">L2+16</f>
        <v>16</v>
      </c>
      <c r="M3">
        <f t="shared" ref="M3:M33" si="1">M2+8</f>
        <v>8</v>
      </c>
      <c r="N3">
        <f>N2+4</f>
        <v>4</v>
      </c>
    </row>
    <row r="4" spans="1:14" x14ac:dyDescent="0.3">
      <c r="A4" s="4">
        <v>10</v>
      </c>
      <c r="B4" s="5" t="s">
        <v>86</v>
      </c>
      <c r="J4">
        <f>J3+64</f>
        <v>128</v>
      </c>
      <c r="K4">
        <f t="shared" ref="K4:K9" si="2">K3+32</f>
        <v>64</v>
      </c>
      <c r="L4">
        <f t="shared" si="0"/>
        <v>32</v>
      </c>
      <c r="M4">
        <f t="shared" si="1"/>
        <v>16</v>
      </c>
      <c r="N4">
        <f t="shared" ref="N4:N65" si="3">N3+4</f>
        <v>8</v>
      </c>
    </row>
    <row r="5" spans="1:14" x14ac:dyDescent="0.3">
      <c r="A5" s="4">
        <v>11</v>
      </c>
      <c r="B5" s="5" t="s">
        <v>87</v>
      </c>
      <c r="J5">
        <f>J4+64</f>
        <v>192</v>
      </c>
      <c r="K5">
        <f t="shared" si="2"/>
        <v>96</v>
      </c>
      <c r="L5">
        <f t="shared" si="0"/>
        <v>48</v>
      </c>
      <c r="M5">
        <f t="shared" si="1"/>
        <v>24</v>
      </c>
      <c r="N5">
        <f t="shared" si="3"/>
        <v>12</v>
      </c>
    </row>
    <row r="6" spans="1:14" x14ac:dyDescent="0.3">
      <c r="A6" s="4">
        <v>12</v>
      </c>
      <c r="B6" s="5" t="s">
        <v>88</v>
      </c>
      <c r="K6">
        <f t="shared" si="2"/>
        <v>128</v>
      </c>
      <c r="L6">
        <f t="shared" si="0"/>
        <v>64</v>
      </c>
      <c r="M6">
        <f t="shared" si="1"/>
        <v>32</v>
      </c>
      <c r="N6">
        <f t="shared" si="3"/>
        <v>16</v>
      </c>
    </row>
    <row r="7" spans="1:14" x14ac:dyDescent="0.3">
      <c r="A7" s="4">
        <v>13</v>
      </c>
      <c r="B7" s="5" t="s">
        <v>89</v>
      </c>
      <c r="K7">
        <f t="shared" si="2"/>
        <v>160</v>
      </c>
      <c r="L7">
        <f t="shared" si="0"/>
        <v>80</v>
      </c>
      <c r="M7">
        <f t="shared" si="1"/>
        <v>40</v>
      </c>
      <c r="N7">
        <f t="shared" si="3"/>
        <v>20</v>
      </c>
    </row>
    <row r="8" spans="1:14" x14ac:dyDescent="0.3">
      <c r="A8" s="4">
        <v>14</v>
      </c>
      <c r="B8" s="5" t="s">
        <v>90</v>
      </c>
      <c r="K8">
        <f t="shared" si="2"/>
        <v>192</v>
      </c>
      <c r="L8">
        <f t="shared" si="0"/>
        <v>96</v>
      </c>
      <c r="M8">
        <f t="shared" si="1"/>
        <v>48</v>
      </c>
      <c r="N8">
        <f t="shared" si="3"/>
        <v>24</v>
      </c>
    </row>
    <row r="9" spans="1:14" x14ac:dyDescent="0.3">
      <c r="A9" s="4">
        <v>15</v>
      </c>
      <c r="B9" s="5" t="s">
        <v>91</v>
      </c>
      <c r="K9">
        <f t="shared" si="2"/>
        <v>224</v>
      </c>
      <c r="L9">
        <f t="shared" si="0"/>
        <v>112</v>
      </c>
      <c r="M9">
        <f t="shared" si="1"/>
        <v>56</v>
      </c>
      <c r="N9">
        <f t="shared" si="3"/>
        <v>28</v>
      </c>
    </row>
    <row r="10" spans="1:14" x14ac:dyDescent="0.3">
      <c r="A10" s="4">
        <v>16</v>
      </c>
      <c r="B10" s="5" t="s">
        <v>92</v>
      </c>
      <c r="L10">
        <f t="shared" si="0"/>
        <v>128</v>
      </c>
      <c r="M10">
        <f t="shared" si="1"/>
        <v>64</v>
      </c>
      <c r="N10">
        <f t="shared" si="3"/>
        <v>32</v>
      </c>
    </row>
    <row r="11" spans="1:14" x14ac:dyDescent="0.3">
      <c r="A11" s="4">
        <v>17</v>
      </c>
      <c r="B11" s="5" t="s">
        <v>93</v>
      </c>
      <c r="L11">
        <f t="shared" si="0"/>
        <v>144</v>
      </c>
      <c r="M11">
        <f t="shared" si="1"/>
        <v>72</v>
      </c>
      <c r="N11">
        <f t="shared" si="3"/>
        <v>36</v>
      </c>
    </row>
    <row r="12" spans="1:14" x14ac:dyDescent="0.3">
      <c r="A12" s="4">
        <v>18</v>
      </c>
      <c r="B12" s="5" t="s">
        <v>94</v>
      </c>
      <c r="L12">
        <f t="shared" si="0"/>
        <v>160</v>
      </c>
      <c r="M12">
        <f t="shared" si="1"/>
        <v>80</v>
      </c>
      <c r="N12">
        <f t="shared" si="3"/>
        <v>40</v>
      </c>
    </row>
    <row r="13" spans="1:14" x14ac:dyDescent="0.3">
      <c r="A13" s="4">
        <v>19</v>
      </c>
      <c r="B13" s="5" t="s">
        <v>95</v>
      </c>
      <c r="L13">
        <f t="shared" si="0"/>
        <v>176</v>
      </c>
      <c r="M13">
        <f t="shared" si="1"/>
        <v>88</v>
      </c>
      <c r="N13">
        <f t="shared" si="3"/>
        <v>44</v>
      </c>
    </row>
    <row r="14" spans="1:14" x14ac:dyDescent="0.3">
      <c r="A14" s="4">
        <v>20</v>
      </c>
      <c r="B14" s="5" t="s">
        <v>96</v>
      </c>
      <c r="L14">
        <f t="shared" si="0"/>
        <v>192</v>
      </c>
      <c r="M14">
        <f t="shared" si="1"/>
        <v>96</v>
      </c>
      <c r="N14">
        <f t="shared" si="3"/>
        <v>48</v>
      </c>
    </row>
    <row r="15" spans="1:14" x14ac:dyDescent="0.3">
      <c r="A15" s="4">
        <v>21</v>
      </c>
      <c r="B15" s="5" t="s">
        <v>97</v>
      </c>
      <c r="L15">
        <f t="shared" si="0"/>
        <v>208</v>
      </c>
      <c r="M15">
        <f t="shared" si="1"/>
        <v>104</v>
      </c>
      <c r="N15">
        <f t="shared" si="3"/>
        <v>52</v>
      </c>
    </row>
    <row r="16" spans="1:14" x14ac:dyDescent="0.3">
      <c r="A16" s="4">
        <v>22</v>
      </c>
      <c r="B16" s="5" t="s">
        <v>98</v>
      </c>
      <c r="L16">
        <f t="shared" si="0"/>
        <v>224</v>
      </c>
      <c r="M16">
        <f t="shared" si="1"/>
        <v>112</v>
      </c>
      <c r="N16">
        <f t="shared" si="3"/>
        <v>56</v>
      </c>
    </row>
    <row r="17" spans="1:14" x14ac:dyDescent="0.3">
      <c r="A17" s="4">
        <v>23</v>
      </c>
      <c r="B17" s="5" t="s">
        <v>99</v>
      </c>
      <c r="L17">
        <f t="shared" si="0"/>
        <v>240</v>
      </c>
      <c r="M17">
        <f t="shared" si="1"/>
        <v>120</v>
      </c>
      <c r="N17">
        <f t="shared" si="3"/>
        <v>60</v>
      </c>
    </row>
    <row r="18" spans="1:14" x14ac:dyDescent="0.3">
      <c r="A18" s="4">
        <v>24</v>
      </c>
      <c r="B18" s="5" t="s">
        <v>100</v>
      </c>
      <c r="M18">
        <f t="shared" si="1"/>
        <v>128</v>
      </c>
      <c r="N18">
        <f t="shared" si="3"/>
        <v>64</v>
      </c>
    </row>
    <row r="19" spans="1:14" x14ac:dyDescent="0.3">
      <c r="A19" s="4">
        <v>25</v>
      </c>
      <c r="B19" s="5" t="s">
        <v>101</v>
      </c>
      <c r="M19">
        <f t="shared" si="1"/>
        <v>136</v>
      </c>
      <c r="N19">
        <f t="shared" si="3"/>
        <v>68</v>
      </c>
    </row>
    <row r="20" spans="1:14" x14ac:dyDescent="0.3">
      <c r="A20" s="4">
        <v>26</v>
      </c>
      <c r="B20" s="5" t="s">
        <v>102</v>
      </c>
      <c r="M20">
        <f t="shared" si="1"/>
        <v>144</v>
      </c>
      <c r="N20">
        <f t="shared" si="3"/>
        <v>72</v>
      </c>
    </row>
    <row r="21" spans="1:14" x14ac:dyDescent="0.3">
      <c r="A21" s="4">
        <v>27</v>
      </c>
      <c r="B21" s="5" t="s">
        <v>103</v>
      </c>
      <c r="M21">
        <f t="shared" si="1"/>
        <v>152</v>
      </c>
      <c r="N21">
        <f t="shared" si="3"/>
        <v>76</v>
      </c>
    </row>
    <row r="22" spans="1:14" x14ac:dyDescent="0.3">
      <c r="A22" s="4">
        <v>28</v>
      </c>
      <c r="B22" s="5" t="s">
        <v>104</v>
      </c>
      <c r="M22">
        <f t="shared" si="1"/>
        <v>160</v>
      </c>
      <c r="N22">
        <f t="shared" si="3"/>
        <v>80</v>
      </c>
    </row>
    <row r="23" spans="1:14" x14ac:dyDescent="0.3">
      <c r="A23" s="4">
        <v>29</v>
      </c>
      <c r="B23" s="5" t="s">
        <v>105</v>
      </c>
      <c r="M23">
        <f t="shared" si="1"/>
        <v>168</v>
      </c>
      <c r="N23">
        <f t="shared" si="3"/>
        <v>84</v>
      </c>
    </row>
    <row r="24" spans="1:14" x14ac:dyDescent="0.3">
      <c r="A24" s="4">
        <v>30</v>
      </c>
      <c r="B24" s="5" t="s">
        <v>106</v>
      </c>
      <c r="M24">
        <f t="shared" si="1"/>
        <v>176</v>
      </c>
      <c r="N24">
        <f t="shared" si="3"/>
        <v>88</v>
      </c>
    </row>
    <row r="25" spans="1:14" x14ac:dyDescent="0.3">
      <c r="A25" s="4">
        <v>32</v>
      </c>
      <c r="B25" s="5" t="s">
        <v>80</v>
      </c>
      <c r="M25">
        <f t="shared" si="1"/>
        <v>184</v>
      </c>
      <c r="N25">
        <f t="shared" si="3"/>
        <v>92</v>
      </c>
    </row>
    <row r="26" spans="1:14" x14ac:dyDescent="0.3">
      <c r="M26">
        <f t="shared" si="1"/>
        <v>192</v>
      </c>
      <c r="N26">
        <f>N25+4</f>
        <v>96</v>
      </c>
    </row>
    <row r="27" spans="1:14" x14ac:dyDescent="0.3">
      <c r="D27" t="s">
        <v>107</v>
      </c>
      <c r="E27" t="s">
        <v>108</v>
      </c>
      <c r="F27" t="s">
        <v>76</v>
      </c>
      <c r="J27" t="s">
        <v>172</v>
      </c>
      <c r="M27">
        <f t="shared" si="1"/>
        <v>200</v>
      </c>
      <c r="N27">
        <f t="shared" si="3"/>
        <v>100</v>
      </c>
    </row>
    <row r="28" spans="1:14" x14ac:dyDescent="0.3">
      <c r="D28" t="s">
        <v>107</v>
      </c>
      <c r="E28" t="s">
        <v>109</v>
      </c>
      <c r="F28" t="s">
        <v>74</v>
      </c>
      <c r="M28">
        <f t="shared" si="1"/>
        <v>208</v>
      </c>
      <c r="N28">
        <f t="shared" si="3"/>
        <v>104</v>
      </c>
    </row>
    <row r="29" spans="1:14" x14ac:dyDescent="0.3">
      <c r="D29" t="s">
        <v>107</v>
      </c>
      <c r="E29" t="s">
        <v>110</v>
      </c>
      <c r="F29" t="s">
        <v>75</v>
      </c>
      <c r="M29">
        <f t="shared" si="1"/>
        <v>216</v>
      </c>
      <c r="N29">
        <f t="shared" si="3"/>
        <v>108</v>
      </c>
    </row>
    <row r="30" spans="1:14" x14ac:dyDescent="0.3">
      <c r="M30">
        <f t="shared" si="1"/>
        <v>224</v>
      </c>
      <c r="N30">
        <f t="shared" si="3"/>
        <v>112</v>
      </c>
    </row>
    <row r="31" spans="1:14" x14ac:dyDescent="0.3">
      <c r="M31">
        <f t="shared" si="1"/>
        <v>232</v>
      </c>
      <c r="N31">
        <f t="shared" si="3"/>
        <v>116</v>
      </c>
    </row>
    <row r="32" spans="1:14" x14ac:dyDescent="0.3">
      <c r="B32" t="s">
        <v>111</v>
      </c>
      <c r="D32" t="s">
        <v>112</v>
      </c>
      <c r="E32" t="s">
        <v>113</v>
      </c>
      <c r="F32" t="s">
        <v>114</v>
      </c>
      <c r="M32">
        <f t="shared" si="1"/>
        <v>240</v>
      </c>
      <c r="N32">
        <f t="shared" si="3"/>
        <v>120</v>
      </c>
    </row>
    <row r="33" spans="4:14" ht="15.6" x14ac:dyDescent="0.3">
      <c r="D33" t="s">
        <v>73</v>
      </c>
      <c r="F33" s="31" t="s">
        <v>115</v>
      </c>
      <c r="M33">
        <f t="shared" si="1"/>
        <v>248</v>
      </c>
      <c r="N33">
        <f t="shared" si="3"/>
        <v>124</v>
      </c>
    </row>
    <row r="34" spans="4:14" ht="15.6" x14ac:dyDescent="0.3">
      <c r="D34" t="s">
        <v>73</v>
      </c>
      <c r="F34" s="31" t="s">
        <v>116</v>
      </c>
      <c r="N34">
        <f t="shared" si="3"/>
        <v>128</v>
      </c>
    </row>
    <row r="35" spans="4:14" x14ac:dyDescent="0.3">
      <c r="N35">
        <f t="shared" si="3"/>
        <v>132</v>
      </c>
    </row>
    <row r="36" spans="4:14" x14ac:dyDescent="0.3">
      <c r="N36">
        <f t="shared" si="3"/>
        <v>136</v>
      </c>
    </row>
    <row r="37" spans="4:14" x14ac:dyDescent="0.3">
      <c r="N37">
        <f t="shared" si="3"/>
        <v>140</v>
      </c>
    </row>
    <row r="38" spans="4:14" x14ac:dyDescent="0.3">
      <c r="N38">
        <f t="shared" si="3"/>
        <v>144</v>
      </c>
    </row>
    <row r="39" spans="4:14" x14ac:dyDescent="0.3">
      <c r="N39">
        <f t="shared" si="3"/>
        <v>148</v>
      </c>
    </row>
    <row r="40" spans="4:14" x14ac:dyDescent="0.3">
      <c r="N40">
        <f t="shared" si="3"/>
        <v>152</v>
      </c>
    </row>
    <row r="41" spans="4:14" x14ac:dyDescent="0.3">
      <c r="N41">
        <f t="shared" si="3"/>
        <v>156</v>
      </c>
    </row>
    <row r="42" spans="4:14" x14ac:dyDescent="0.3">
      <c r="N42">
        <f t="shared" si="3"/>
        <v>160</v>
      </c>
    </row>
    <row r="43" spans="4:14" x14ac:dyDescent="0.3">
      <c r="N43">
        <f t="shared" si="3"/>
        <v>164</v>
      </c>
    </row>
    <row r="44" spans="4:14" x14ac:dyDescent="0.3">
      <c r="N44">
        <f t="shared" si="3"/>
        <v>168</v>
      </c>
    </row>
    <row r="45" spans="4:14" x14ac:dyDescent="0.3">
      <c r="N45">
        <f t="shared" si="3"/>
        <v>172</v>
      </c>
    </row>
    <row r="46" spans="4:14" x14ac:dyDescent="0.3">
      <c r="N46">
        <f t="shared" si="3"/>
        <v>176</v>
      </c>
    </row>
    <row r="47" spans="4:14" x14ac:dyDescent="0.3">
      <c r="N47">
        <f t="shared" si="3"/>
        <v>180</v>
      </c>
    </row>
    <row r="48" spans="4:14" x14ac:dyDescent="0.3">
      <c r="N48">
        <f t="shared" si="3"/>
        <v>184</v>
      </c>
    </row>
    <row r="49" spans="14:14" x14ac:dyDescent="0.3">
      <c r="N49">
        <f t="shared" si="3"/>
        <v>188</v>
      </c>
    </row>
    <row r="50" spans="14:14" x14ac:dyDescent="0.3">
      <c r="N50">
        <f t="shared" si="3"/>
        <v>192</v>
      </c>
    </row>
    <row r="51" spans="14:14" x14ac:dyDescent="0.3">
      <c r="N51">
        <f t="shared" si="3"/>
        <v>196</v>
      </c>
    </row>
    <row r="52" spans="14:14" x14ac:dyDescent="0.3">
      <c r="N52">
        <f t="shared" si="3"/>
        <v>200</v>
      </c>
    </row>
    <row r="53" spans="14:14" x14ac:dyDescent="0.3">
      <c r="N53">
        <f t="shared" si="3"/>
        <v>204</v>
      </c>
    </row>
    <row r="54" spans="14:14" x14ac:dyDescent="0.3">
      <c r="N54">
        <f t="shared" si="3"/>
        <v>208</v>
      </c>
    </row>
    <row r="55" spans="14:14" x14ac:dyDescent="0.3">
      <c r="N55">
        <f t="shared" si="3"/>
        <v>212</v>
      </c>
    </row>
    <row r="56" spans="14:14" x14ac:dyDescent="0.3">
      <c r="N56">
        <f t="shared" si="3"/>
        <v>216</v>
      </c>
    </row>
    <row r="57" spans="14:14" x14ac:dyDescent="0.3">
      <c r="N57">
        <f t="shared" si="3"/>
        <v>220</v>
      </c>
    </row>
    <row r="58" spans="14:14" x14ac:dyDescent="0.3">
      <c r="N58">
        <f t="shared" si="3"/>
        <v>224</v>
      </c>
    </row>
    <row r="59" spans="14:14" x14ac:dyDescent="0.3">
      <c r="N59">
        <f t="shared" si="3"/>
        <v>228</v>
      </c>
    </row>
    <row r="60" spans="14:14" x14ac:dyDescent="0.3">
      <c r="N60">
        <f t="shared" si="3"/>
        <v>232</v>
      </c>
    </row>
    <row r="61" spans="14:14" x14ac:dyDescent="0.3">
      <c r="N61">
        <f t="shared" si="3"/>
        <v>236</v>
      </c>
    </row>
    <row r="62" spans="14:14" x14ac:dyDescent="0.3">
      <c r="N62">
        <f t="shared" si="3"/>
        <v>240</v>
      </c>
    </row>
    <row r="63" spans="14:14" x14ac:dyDescent="0.3">
      <c r="N63">
        <f t="shared" si="3"/>
        <v>244</v>
      </c>
    </row>
    <row r="64" spans="14:14" x14ac:dyDescent="0.3">
      <c r="N64">
        <f t="shared" si="3"/>
        <v>248</v>
      </c>
    </row>
    <row r="65" spans="14:14" x14ac:dyDescent="0.3">
      <c r="N65">
        <f t="shared" si="3"/>
        <v>252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&amp;C&amp;1#&amp;"TIM Sans"&amp;8&amp;K4472C4Gruppo TIM - Uso Interno - Tutti i diritti riservati.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EB7B13CE0B35418B637A96945939EA" ma:contentTypeVersion="9" ma:contentTypeDescription="Creare un nuovo documento." ma:contentTypeScope="" ma:versionID="8fe89c5a887b871dc6af4d17d37abb5b">
  <xsd:schema xmlns:xsd="http://www.w3.org/2001/XMLSchema" xmlns:xs="http://www.w3.org/2001/XMLSchema" xmlns:p="http://schemas.microsoft.com/office/2006/metadata/properties" xmlns:ns2="ade56a4a-d283-4d47-8781-2752a2565dde" xmlns:ns3="fe7736ff-729e-4aea-9b9c-9fb4ccd85f92" targetNamespace="http://schemas.microsoft.com/office/2006/metadata/properties" ma:root="true" ma:fieldsID="a60901cbf73dc79be1f9ee4feafec94d" ns2:_="" ns3:_="">
    <xsd:import namespace="ade56a4a-d283-4d47-8781-2752a2565dde"/>
    <xsd:import namespace="fe7736ff-729e-4aea-9b9c-9fb4ccd85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56a4a-d283-4d47-8781-2752a2565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36ff-729e-4aea-9b9c-9fb4ccd85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6550EA-2088-48A1-BDAB-FB738FA606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A89680-8CC3-49E8-B1F0-1FD20648CB6D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ade56a4a-d283-4d47-8781-2752a2565dde"/>
    <ds:schemaRef ds:uri="http://purl.org/dc/elements/1.1/"/>
    <ds:schemaRef ds:uri="fe7736ff-729e-4aea-9b9c-9fb4ccd85f9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7000C2E-4874-4E81-927D-B23E37E33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56a4a-d283-4d47-8781-2752a2565dde"/>
    <ds:schemaRef ds:uri="fe7736ff-729e-4aea-9b9c-9fb4ccd85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ZTE NR9250 (out)</vt:lpstr>
      <vt:lpstr>ZTE NR9250 (in)</vt:lpstr>
      <vt:lpstr>ZTE MBL (out)</vt:lpstr>
      <vt:lpstr>ZTE MBL (in)</vt:lpstr>
      <vt:lpstr>ZTE ER2020E (out)</vt:lpstr>
      <vt:lpstr>ZTE ER2020E (in)</vt:lpstr>
      <vt:lpstr>(servizio)</vt:lpstr>
      <vt:lpstr>RETE26</vt:lpstr>
      <vt:lpstr>RETE27</vt:lpstr>
      <vt:lpstr>RETE28</vt:lpstr>
      <vt:lpstr>RETE29</vt:lpstr>
      <vt:lpstr>RETE30</vt:lpstr>
      <vt:lpstr>sottorete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Solas Marco Vinicio</dc:creator>
  <cp:keywords/>
  <dc:description/>
  <cp:lastModifiedBy>Passerani Marco10294484</cp:lastModifiedBy>
  <cp:revision/>
  <dcterms:created xsi:type="dcterms:W3CDTF">2017-06-06T08:45:44Z</dcterms:created>
  <dcterms:modified xsi:type="dcterms:W3CDTF">2025-07-18T10:18:08Z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0x01010002EB7B13CE0B35418B637A96945939EA</vt:lpwstr>
  </property>
  <property fmtid="{D5CDD505-2E9C-101B-9397-08002B2CF9AE}" pid="3" name="_readonly">
    <vt:lpwstr/>
  </property>
  <property fmtid="{D5CDD505-2E9C-101B-9397-08002B2CF9AE}" pid="4" name="_change">
    <vt:lpwstr/>
  </property>
  <property fmtid="{D5CDD505-2E9C-101B-9397-08002B2CF9AE}" pid="5" name="_full-control">
    <vt:lpwstr/>
  </property>
  <property fmtid="{D5CDD505-2E9C-101B-9397-08002B2CF9AE}" pid="6" name="sflag">
    <vt:lpwstr>1619514511</vt:lpwstr>
  </property>
  <property fmtid="{D5CDD505-2E9C-101B-9397-08002B2CF9AE}" pid="7" name="MSIP_Label_d6986fb0-3baa-42d2-89d5-89f9b25e6ac9_Enabled">
    <vt:lpwstr>true</vt:lpwstr>
  </property>
  <property fmtid="{D5CDD505-2E9C-101B-9397-08002B2CF9AE}" pid="8" name="MSIP_Label_d6986fb0-3baa-42d2-89d5-89f9b25e6ac9_SetDate">
    <vt:lpwstr>2023-03-28T09:25:19Z</vt:lpwstr>
  </property>
  <property fmtid="{D5CDD505-2E9C-101B-9397-08002B2CF9AE}" pid="9" name="MSIP_Label_d6986fb0-3baa-42d2-89d5-89f9b25e6ac9_Method">
    <vt:lpwstr>Standard</vt:lpwstr>
  </property>
  <property fmtid="{D5CDD505-2E9C-101B-9397-08002B2CF9AE}" pid="10" name="MSIP_Label_d6986fb0-3baa-42d2-89d5-89f9b25e6ac9_Name">
    <vt:lpwstr>Uso Interno</vt:lpwstr>
  </property>
  <property fmtid="{D5CDD505-2E9C-101B-9397-08002B2CF9AE}" pid="11" name="MSIP_Label_d6986fb0-3baa-42d2-89d5-89f9b25e6ac9_SiteId">
    <vt:lpwstr>6815f468-021c-48f2-a6b2-d65c8e979dfb</vt:lpwstr>
  </property>
  <property fmtid="{D5CDD505-2E9C-101B-9397-08002B2CF9AE}" pid="12" name="MSIP_Label_d6986fb0-3baa-42d2-89d5-89f9b25e6ac9_ActionId">
    <vt:lpwstr>d0c4dcb9-c840-4573-9d36-d69b430b1464</vt:lpwstr>
  </property>
  <property fmtid="{D5CDD505-2E9C-101B-9397-08002B2CF9AE}" pid="13" name="MSIP_Label_d6986fb0-3baa-42d2-89d5-89f9b25e6ac9_ContentBits">
    <vt:lpwstr>2</vt:lpwstr>
  </property>
</Properties>
</file>